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2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sirya\Downloads\"/>
    </mc:Choice>
  </mc:AlternateContent>
  <xr:revisionPtr revIDLastSave="0" documentId="13_ncr:40009_{1B353367-BA9F-40AE-94EE-99AD912AA39E}" xr6:coauthVersionLast="47" xr6:coauthVersionMax="47" xr10:uidLastSave="{00000000-0000-0000-0000-000000000000}"/>
  <bookViews>
    <workbookView xWindow="-110" yWindow="-110" windowWidth="19420" windowHeight="11020" firstSheet="3"/>
  </bookViews>
  <sheets>
    <sheet name="dashboard" sheetId="11" r:id="rId1"/>
    <sheet name="imdb" sheetId="1" r:id="rId2"/>
    <sheet name="analysis" sheetId="2" r:id="rId3"/>
    <sheet name="pivot_blockbuster" sheetId="10" r:id="rId4"/>
    <sheet name="pivot_classic" sheetId="8" r:id="rId5"/>
    <sheet name="pivot_votes" sheetId="7" r:id="rId6"/>
    <sheet name="pivot_runtime" sheetId="6" r:id="rId7"/>
    <sheet name="pivot_genre" sheetId="4" r:id="rId8"/>
    <sheet name="pivot_decade" sheetId="5" r:id="rId9"/>
  </sheets>
  <calcPr calcId="0"/>
  <pivotCaches>
    <pivotCache cacheId="13" r:id="rId10"/>
  </pivotCaches>
  <extLs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7" i="2" l="1"/>
  <c r="B6" i="2"/>
  <c r="M2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N2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B5" i="2"/>
  <c r="B4" i="2"/>
  <c r="B3" i="2"/>
  <c r="B2" i="2"/>
</calcChain>
</file>

<file path=xl/sharedStrings.xml><?xml version="1.0" encoding="utf-8"?>
<sst xmlns="http://schemas.openxmlformats.org/spreadsheetml/2006/main" count="1127" uniqueCount="497">
  <si>
    <t>tconst</t>
  </si>
  <si>
    <t>title</t>
  </si>
  <si>
    <t>year</t>
  </si>
  <si>
    <t>runtime_min</t>
  </si>
  <si>
    <t>genres</t>
  </si>
  <si>
    <t>rating</t>
  </si>
  <si>
    <t>votes</t>
  </si>
  <si>
    <t>rank</t>
  </si>
  <si>
    <t>primary_genre</t>
  </si>
  <si>
    <t>decade</t>
  </si>
  <si>
    <t>runtime_category</t>
  </si>
  <si>
    <t>votes_millions</t>
  </si>
  <si>
    <t>tt0111161</t>
  </si>
  <si>
    <t>The Shawshank Redemption</t>
  </si>
  <si>
    <t>Drama</t>
  </si>
  <si>
    <t>1990s</t>
  </si>
  <si>
    <t>normal</t>
  </si>
  <si>
    <t>tt0068646</t>
  </si>
  <si>
    <t>The Godfather</t>
  </si>
  <si>
    <t>Crime,Drama</t>
  </si>
  <si>
    <t>Crime</t>
  </si>
  <si>
    <t>1970s</t>
  </si>
  <si>
    <t>long</t>
  </si>
  <si>
    <t>tt0468569</t>
  </si>
  <si>
    <t>The Dark Knight</t>
  </si>
  <si>
    <t>Action,Crime,Drama</t>
  </si>
  <si>
    <t>Action</t>
  </si>
  <si>
    <t>2000s</t>
  </si>
  <si>
    <t>tt0167260</t>
  </si>
  <si>
    <t>The Lord of the Rings: The Return of the King</t>
  </si>
  <si>
    <t>Adventure,Drama,Fantasy</t>
  </si>
  <si>
    <t>Adventure</t>
  </si>
  <si>
    <t>tt0108052</t>
  </si>
  <si>
    <t>Schindler's List</t>
  </si>
  <si>
    <t>Biography,Drama,History</t>
  </si>
  <si>
    <t>Biography</t>
  </si>
  <si>
    <t>tt0071562</t>
  </si>
  <si>
    <t>The Godfather Part II</t>
  </si>
  <si>
    <t>tt0050083</t>
  </si>
  <si>
    <t>12 Angry Men</t>
  </si>
  <si>
    <t>1950s</t>
  </si>
  <si>
    <t>short</t>
  </si>
  <si>
    <t>tt0120737</t>
  </si>
  <si>
    <t>The Lord of the Rings: The Fellowship of the Ring</t>
  </si>
  <si>
    <t>tt1375666</t>
  </si>
  <si>
    <t>Inception</t>
  </si>
  <si>
    <t>Action,Adventure,Sci-Fi</t>
  </si>
  <si>
    <t>2010s</t>
  </si>
  <si>
    <t>tt0137523</t>
  </si>
  <si>
    <t>Fight Club</t>
  </si>
  <si>
    <t>Crime,Drama,Thriller</t>
  </si>
  <si>
    <t>tt0109830</t>
  </si>
  <si>
    <t>Forrest Gump</t>
  </si>
  <si>
    <t>Drama,Romance</t>
  </si>
  <si>
    <t>tt0110912</t>
  </si>
  <si>
    <t>Pulp Fiction</t>
  </si>
  <si>
    <t>tt0167261</t>
  </si>
  <si>
    <t>The Lord of the Rings: The Two Towers</t>
  </si>
  <si>
    <t>tt0060196</t>
  </si>
  <si>
    <t>The Good, the Bad and the Ugly</t>
  </si>
  <si>
    <t>Adventure,Drama,Western</t>
  </si>
  <si>
    <t>1960s</t>
  </si>
  <si>
    <t>tt0816692</t>
  </si>
  <si>
    <t>Interstellar</t>
  </si>
  <si>
    <t>Adventure,Drama,Sci-Fi</t>
  </si>
  <si>
    <t>tt0133093</t>
  </si>
  <si>
    <t>The Matrix</t>
  </si>
  <si>
    <t>Action,Sci-Fi</t>
  </si>
  <si>
    <t>tt0080684</t>
  </si>
  <si>
    <t>Star Wars: Episode V - The Empire Strikes Back</t>
  </si>
  <si>
    <t>Action,Adventure,Fantasy</t>
  </si>
  <si>
    <t>1980s</t>
  </si>
  <si>
    <t>tt0099685</t>
  </si>
  <si>
    <t>GoodFellas</t>
  </si>
  <si>
    <t>Biography,Crime,Drama</t>
  </si>
  <si>
    <t>tt23849204</t>
  </si>
  <si>
    <t>12th Fail</t>
  </si>
  <si>
    <t>Biography,Drama</t>
  </si>
  <si>
    <t>2020s</t>
  </si>
  <si>
    <t>tt0114369</t>
  </si>
  <si>
    <t>Seven</t>
  </si>
  <si>
    <t>Crime,Drama,Mystery</t>
  </si>
  <si>
    <t>tt0102926</t>
  </si>
  <si>
    <t>The Silence of the Lambs</t>
  </si>
  <si>
    <t>Crime,Drama,Horror</t>
  </si>
  <si>
    <t>tt0120815</t>
  </si>
  <si>
    <t>Saving Private Ryan</t>
  </si>
  <si>
    <t>Drama,War</t>
  </si>
  <si>
    <t>tt0076759</t>
  </si>
  <si>
    <t>Star Wars: Episode IV - A New Hope</t>
  </si>
  <si>
    <t>tt0120689</t>
  </si>
  <si>
    <t>The Green Mile</t>
  </si>
  <si>
    <t>Crime,Drama,Fantasy</t>
  </si>
  <si>
    <t>tt0103064</t>
  </si>
  <si>
    <t>Terminator 2: Judgment Day</t>
  </si>
  <si>
    <t>tt0073486</t>
  </si>
  <si>
    <t>One Flew Over the Cuckoo's Nest</t>
  </si>
  <si>
    <t>tt0245429</t>
  </si>
  <si>
    <t>Spirited Away</t>
  </si>
  <si>
    <t>Adventure,Animation,Family</t>
  </si>
  <si>
    <t>tt0317248</t>
  </si>
  <si>
    <t>City of God</t>
  </si>
  <si>
    <t>tt0118799</t>
  </si>
  <si>
    <t>Life Is Beautiful</t>
  </si>
  <si>
    <t>Comedy,Drama,Romance</t>
  </si>
  <si>
    <t>Comedy</t>
  </si>
  <si>
    <t>tt0038650</t>
  </si>
  <si>
    <t>It's a Wonderful Life</t>
  </si>
  <si>
    <t>Drama,Family,Fantasy</t>
  </si>
  <si>
    <t>1940s</t>
  </si>
  <si>
    <t>tt0047478</t>
  </si>
  <si>
    <t>Seven Samurai</t>
  </si>
  <si>
    <t>Action,Drama</t>
  </si>
  <si>
    <t>tt15097216</t>
  </si>
  <si>
    <t>Jai Bhim</t>
  </si>
  <si>
    <t>tt10189514</t>
  </si>
  <si>
    <t>Soorarai Pottru</t>
  </si>
  <si>
    <t>tt1853728</t>
  </si>
  <si>
    <t>Django Unchained</t>
  </si>
  <si>
    <t>Drama,Western</t>
  </si>
  <si>
    <t>tt0172495</t>
  </si>
  <si>
    <t>Gladiator</t>
  </si>
  <si>
    <t>Action,Adventure,Drama</t>
  </si>
  <si>
    <t>tt0482571</t>
  </si>
  <si>
    <t>The Prestige</t>
  </si>
  <si>
    <t>Drama,Mystery,Sci-Fi</t>
  </si>
  <si>
    <t>tt0407887</t>
  </si>
  <si>
    <t>The Departed</t>
  </si>
  <si>
    <t>tt0088763</t>
  </si>
  <si>
    <t>Back to the Future</t>
  </si>
  <si>
    <t>Adventure,Comedy,Sci-Fi</t>
  </si>
  <si>
    <t>tt0110413</t>
  </si>
  <si>
    <t>LÃ©on: The Professional</t>
  </si>
  <si>
    <t>tt0120586</t>
  </si>
  <si>
    <t>American History X</t>
  </si>
  <si>
    <t>tt0110357</t>
  </si>
  <si>
    <t>The Lion King</t>
  </si>
  <si>
    <t>Adventure,Animation,Drama</t>
  </si>
  <si>
    <t>tt0114814</t>
  </si>
  <si>
    <t>The Usual Suspects</t>
  </si>
  <si>
    <t>tt6751668</t>
  </si>
  <si>
    <t>Parasite</t>
  </si>
  <si>
    <t>Drama,Thriller</t>
  </si>
  <si>
    <t>tt2582802</t>
  </si>
  <si>
    <t>Whiplash</t>
  </si>
  <si>
    <t>Drama,Music</t>
  </si>
  <si>
    <t>tt0078748</t>
  </si>
  <si>
    <t>Alien</t>
  </si>
  <si>
    <t>Horror,Sci-Fi</t>
  </si>
  <si>
    <t>Horror</t>
  </si>
  <si>
    <t>tt1675434</t>
  </si>
  <si>
    <t>The Intouchables</t>
  </si>
  <si>
    <t>Comedy,Drama</t>
  </si>
  <si>
    <t>tt0253474</t>
  </si>
  <si>
    <t>The Pianist</t>
  </si>
  <si>
    <t>Biography,Drama,Music</t>
  </si>
  <si>
    <t>tt0054215</t>
  </si>
  <si>
    <t>Psycho</t>
  </si>
  <si>
    <t>Drama,Horror,Mystery</t>
  </si>
  <si>
    <t>tt0034583</t>
  </si>
  <si>
    <t>Casablanca</t>
  </si>
  <si>
    <t>Drama,Romance,War</t>
  </si>
  <si>
    <t>tt10811166</t>
  </si>
  <si>
    <t>The Kashmir Files</t>
  </si>
  <si>
    <t>tt9362722</t>
  </si>
  <si>
    <t>Spider-Man: Across the Spider-Verse</t>
  </si>
  <si>
    <t>Action,Adventure,Animation</t>
  </si>
  <si>
    <t>tt0095327</t>
  </si>
  <si>
    <t>Grave of the Fireflies</t>
  </si>
  <si>
    <t>Animation,Drama,War</t>
  </si>
  <si>
    <t>Animation</t>
  </si>
  <si>
    <t>tt0064116</t>
  </si>
  <si>
    <t>Once Upon a Time in the West</t>
  </si>
  <si>
    <t>tt0095765</t>
  </si>
  <si>
    <t>Cinema Paradiso</t>
  </si>
  <si>
    <t>tt0027977</t>
  </si>
  <si>
    <t>Modern Times</t>
  </si>
  <si>
    <t>1930s</t>
  </si>
  <si>
    <t>tt0021749</t>
  </si>
  <si>
    <t>City Lights</t>
  </si>
  <si>
    <t>tt1345836</t>
  </si>
  <si>
    <t>The Dark Knight Rises</t>
  </si>
  <si>
    <t>tt0361748</t>
  </si>
  <si>
    <t>Inglourious Basterds</t>
  </si>
  <si>
    <t>Adventure,Drama,War</t>
  </si>
  <si>
    <t>tt4154796</t>
  </si>
  <si>
    <t>Avengers: Endgame</t>
  </si>
  <si>
    <t>tt0209144</t>
  </si>
  <si>
    <t>Memento</t>
  </si>
  <si>
    <t>Drama,Mystery,Thriller</t>
  </si>
  <si>
    <t>tt4154756</t>
  </si>
  <si>
    <t>Avengers: Infinity War</t>
  </si>
  <si>
    <t>tt0910970</t>
  </si>
  <si>
    <t>WALLÂ·E</t>
  </si>
  <si>
    <t>tt0081505</t>
  </si>
  <si>
    <t>The Shining</t>
  </si>
  <si>
    <t>Drama,Horror</t>
  </si>
  <si>
    <t>tt0119217</t>
  </si>
  <si>
    <t>Good Will Hunting</t>
  </si>
  <si>
    <t>tt0082971</t>
  </si>
  <si>
    <t>Raiders of the Lost Ark</t>
  </si>
  <si>
    <t>Action,Adventure</t>
  </si>
  <si>
    <t>tt0090605</t>
  </si>
  <si>
    <t>Aliens</t>
  </si>
  <si>
    <t>Action,Adventure,Horror</t>
  </si>
  <si>
    <t>tt4633694</t>
  </si>
  <si>
    <t>Spider-Man: Into the Spider-Verse</t>
  </si>
  <si>
    <t>tt0078788</t>
  </si>
  <si>
    <t>Apocalypse Now</t>
  </si>
  <si>
    <t>Drama,Mystery,War</t>
  </si>
  <si>
    <t>tt15239678</t>
  </si>
  <si>
    <t>Dune: Part Two</t>
  </si>
  <si>
    <t>tt2380307</t>
  </si>
  <si>
    <t>Coco</t>
  </si>
  <si>
    <t>tt0047396</t>
  </si>
  <si>
    <t>Rear Window</t>
  </si>
  <si>
    <t>tt1187043</t>
  </si>
  <si>
    <t>3 Idiots</t>
  </si>
  <si>
    <t>tt0086879</t>
  </si>
  <si>
    <t>Amadeus</t>
  </si>
  <si>
    <t>tt0405094</t>
  </si>
  <si>
    <t>The Lives of Others</t>
  </si>
  <si>
    <t>tt5311514</t>
  </si>
  <si>
    <t>Your Name.</t>
  </si>
  <si>
    <t>Animation,Drama,Fantasy</t>
  </si>
  <si>
    <t>tt0043014</t>
  </si>
  <si>
    <t>Sunset Boulevard</t>
  </si>
  <si>
    <t>Drama,Film-Noir</t>
  </si>
  <si>
    <t>tt0032553</t>
  </si>
  <si>
    <t>The Great Dictator</t>
  </si>
  <si>
    <t>Comedy,Drama,War</t>
  </si>
  <si>
    <t>tt0050825</t>
  </si>
  <si>
    <t>Paths of Glory</t>
  </si>
  <si>
    <t>tt0051201</t>
  </si>
  <si>
    <t>Witness for the Prosecution</t>
  </si>
  <si>
    <t>tt8267604</t>
  </si>
  <si>
    <t>Capernaum</t>
  </si>
  <si>
    <t>tt7286456</t>
  </si>
  <si>
    <t>Joker</t>
  </si>
  <si>
    <t>tt0169547</t>
  </si>
  <si>
    <t>American Beauty</t>
  </si>
  <si>
    <t>tt1049413</t>
  </si>
  <si>
    <t>Up</t>
  </si>
  <si>
    <t>Adventure,Animation,Comedy</t>
  </si>
  <si>
    <t>tt0086190</t>
  </si>
  <si>
    <t>Star Wars: Episode VI - Return of the Jedi</t>
  </si>
  <si>
    <t>tt0338013</t>
  </si>
  <si>
    <t>Eternal Sunshine of the Spotless Mind</t>
  </si>
  <si>
    <t>Drama,Romance,Sci-Fi</t>
  </si>
  <si>
    <t>tt0114709</t>
  </si>
  <si>
    <t>Toy Story</t>
  </si>
  <si>
    <t>tt0105236</t>
  </si>
  <si>
    <t>Reservoir Dogs</t>
  </si>
  <si>
    <t>Crime,Thriller</t>
  </si>
  <si>
    <t>tt0112573</t>
  </si>
  <si>
    <t>Braveheart</t>
  </si>
  <si>
    <t>Biography,Drama,War</t>
  </si>
  <si>
    <t>tt0086250</t>
  </si>
  <si>
    <t>Scarface</t>
  </si>
  <si>
    <t>tt0180093</t>
  </si>
  <si>
    <t>Requiem for a Dream</t>
  </si>
  <si>
    <t>tt0435761</t>
  </si>
  <si>
    <t>Toy Story 3</t>
  </si>
  <si>
    <t>tt0211915</t>
  </si>
  <si>
    <t>AmÃ©lie</t>
  </si>
  <si>
    <t>Comedy,Romance</t>
  </si>
  <si>
    <t>tt0113277</t>
  </si>
  <si>
    <t>Heat</t>
  </si>
  <si>
    <t>tt0062622</t>
  </si>
  <si>
    <t>2001: A Space Odyssey</t>
  </si>
  <si>
    <t>Adventure,Sci-Fi</t>
  </si>
  <si>
    <t>tt0364569</t>
  </si>
  <si>
    <t>Oldboy</t>
  </si>
  <si>
    <t>Action,Drama,Mystery</t>
  </si>
  <si>
    <t>tt0057012</t>
  </si>
  <si>
    <t>Dr. Strangelove or: How I Learned to Stop Worrying and Love the Bomb</t>
  </si>
  <si>
    <t>Comedy,War</t>
  </si>
  <si>
    <t>tt0119698</t>
  </si>
  <si>
    <t>Princess Mononoke</t>
  </si>
  <si>
    <t>Adventure,Animation,Fantasy</t>
  </si>
  <si>
    <t>tt2106476</t>
  </si>
  <si>
    <t>The Hunt</t>
  </si>
  <si>
    <t>tt0087843</t>
  </si>
  <si>
    <t>Once Upon a Time in America</t>
  </si>
  <si>
    <t>tt0053125</t>
  </si>
  <si>
    <t>North by Northwest</t>
  </si>
  <si>
    <t>Adventure,Drama,Mystery</t>
  </si>
  <si>
    <t>tt0056172</t>
  </si>
  <si>
    <t>Lawrence of Arabia</t>
  </si>
  <si>
    <t>Adventure,Biography,Drama</t>
  </si>
  <si>
    <t>tt12042730</t>
  </si>
  <si>
    <t>Project Hail Mary</t>
  </si>
  <si>
    <t>Adventure,Comedy,Drama</t>
  </si>
  <si>
    <t>tt0082096</t>
  </si>
  <si>
    <t>Das Boot</t>
  </si>
  <si>
    <t>tt0045152</t>
  </si>
  <si>
    <t>Singin' in the Rain</t>
  </si>
  <si>
    <t>Comedy,Musical,Romance</t>
  </si>
  <si>
    <t>tt1832382</t>
  </si>
  <si>
    <t>A Separation</t>
  </si>
  <si>
    <t>tt1255953</t>
  </si>
  <si>
    <t>Incendies</t>
  </si>
  <si>
    <t>tt5074352</t>
  </si>
  <si>
    <t>Dangal</t>
  </si>
  <si>
    <t>Action,Biography,Drama</t>
  </si>
  <si>
    <t>tt0986264</t>
  </si>
  <si>
    <t>Like Stars on Earth</t>
  </si>
  <si>
    <t>Drama,Family</t>
  </si>
  <si>
    <t>tt0053604</t>
  </si>
  <si>
    <t>The Apartment</t>
  </si>
  <si>
    <t>tt0022100</t>
  </si>
  <si>
    <t>M</t>
  </si>
  <si>
    <t>Crime,Mystery,Thriller</t>
  </si>
  <si>
    <t>tt0036775</t>
  </si>
  <si>
    <t>Double Indemnity</t>
  </si>
  <si>
    <t>Crime,Drama,Film-Noir</t>
  </si>
  <si>
    <t>tt8503618</t>
  </si>
  <si>
    <t>Hamilton</t>
  </si>
  <si>
    <t>tt33014583</t>
  </si>
  <si>
    <t>Dhurandhar</t>
  </si>
  <si>
    <t>Action,Adventure,Crime</t>
  </si>
  <si>
    <t>tt8110330</t>
  </si>
  <si>
    <t>Dil Bechara</t>
  </si>
  <si>
    <t>tt10295212</t>
  </si>
  <si>
    <t>Shershaah</t>
  </si>
  <si>
    <t>tt0091251</t>
  </si>
  <si>
    <t>Come and See</t>
  </si>
  <si>
    <t>Drama,Thriller,War</t>
  </si>
  <si>
    <t>tt0044741</t>
  </si>
  <si>
    <t>Ikiru</t>
  </si>
  <si>
    <t>tt0993846</t>
  </si>
  <si>
    <t>The Wolf of Wall Street</t>
  </si>
  <si>
    <t>Biography,Comedy,Crime</t>
  </si>
  <si>
    <t>tt0372784</t>
  </si>
  <si>
    <t>Batman Begins</t>
  </si>
  <si>
    <t>tt1130884</t>
  </si>
  <si>
    <t>Shutter Island</t>
  </si>
  <si>
    <t>tt0120382</t>
  </si>
  <si>
    <t>The Truman Show</t>
  </si>
  <si>
    <t>tt0266697</t>
  </si>
  <si>
    <t>Kill Bill: Vol. 1</t>
  </si>
  <si>
    <t>Action,Crime,Thriller</t>
  </si>
  <si>
    <t>tt0266543</t>
  </si>
  <si>
    <t>Finding Nemo</t>
  </si>
  <si>
    <t>tt0477348</t>
  </si>
  <si>
    <t>No Country for Old Men</t>
  </si>
  <si>
    <t>tt0107290</t>
  </si>
  <si>
    <t>Jurassic Park</t>
  </si>
  <si>
    <t>tt0167404</t>
  </si>
  <si>
    <t>The Sixth Sense</t>
  </si>
  <si>
    <t>tt0268978</t>
  </si>
  <si>
    <t>A Beautiful Mind</t>
  </si>
  <si>
    <t>Biography,Drama,Mystery</t>
  </si>
  <si>
    <t>tt15398776</t>
  </si>
  <si>
    <t>Oppenheimer</t>
  </si>
  <si>
    <t>tt0095016</t>
  </si>
  <si>
    <t>Die Hard</t>
  </si>
  <si>
    <t>Action,Thriller</t>
  </si>
  <si>
    <t>tt0075314</t>
  </si>
  <si>
    <t>Taxi Driver</t>
  </si>
  <si>
    <t>tt0208092</t>
  </si>
  <si>
    <t>Snatch</t>
  </si>
  <si>
    <t>Comedy,Crime</t>
  </si>
  <si>
    <t>tt0066921</t>
  </si>
  <si>
    <t>A Clockwork Orange</t>
  </si>
  <si>
    <t>Crime,Sci-Fi</t>
  </si>
  <si>
    <t>tt1392214</t>
  </si>
  <si>
    <t>Prisoners</t>
  </si>
  <si>
    <t>tt1745960</t>
  </si>
  <si>
    <t>Top Gun: Maverick</t>
  </si>
  <si>
    <t>tt0097576</t>
  </si>
  <si>
    <t>Indiana Jones and the Last Crusade</t>
  </si>
  <si>
    <t>tt0093058</t>
  </si>
  <si>
    <t>Full Metal Jacket</t>
  </si>
  <si>
    <t>tt8579674</t>
  </si>
  <si>
    <t>Action,Drama,War</t>
  </si>
  <si>
    <t>tt0457430</t>
  </si>
  <si>
    <t>Pan's Labyrinth</t>
  </si>
  <si>
    <t>Drama,Fantasy,War</t>
  </si>
  <si>
    <t>tt0469494</t>
  </si>
  <si>
    <t>There Will Be Blood</t>
  </si>
  <si>
    <t>tt6966692</t>
  </si>
  <si>
    <t>Green Book</t>
  </si>
  <si>
    <t>Biography,Comedy,Drama</t>
  </si>
  <si>
    <t>tt0119488</t>
  </si>
  <si>
    <t>L.A. Confidential</t>
  </si>
  <si>
    <t>tt0112641</t>
  </si>
  <si>
    <t>Casino</t>
  </si>
  <si>
    <t>tt0084787</t>
  </si>
  <si>
    <t>The Thing</t>
  </si>
  <si>
    <t>Horror,Mystery,Sci-Fi</t>
  </si>
  <si>
    <t>tt0347149</t>
  </si>
  <si>
    <t>Howl's Moving Castle</t>
  </si>
  <si>
    <t>tt0033467</t>
  </si>
  <si>
    <t>Citizen Kane</t>
  </si>
  <si>
    <t>Drama,Mystery</t>
  </si>
  <si>
    <t>tt0105695</t>
  </si>
  <si>
    <t>Unforgiven</t>
  </si>
  <si>
    <t>tt0052357</t>
  </si>
  <si>
    <t>Vertigo</t>
  </si>
  <si>
    <t>Mystery,Romance,Thriller</t>
  </si>
  <si>
    <t>Mystery</t>
  </si>
  <si>
    <t>tt0363163</t>
  </si>
  <si>
    <t>Downfall</t>
  </si>
  <si>
    <t>tt0031381</t>
  </si>
  <si>
    <t>Gone with the Wind</t>
  </si>
  <si>
    <t>tt0056592</t>
  </si>
  <si>
    <t>To Kill a Mockingbird</t>
  </si>
  <si>
    <t>tt0053291</t>
  </si>
  <si>
    <t>Some Like It Hot</t>
  </si>
  <si>
    <t>Comedy,Music,Romance</t>
  </si>
  <si>
    <t>tt0070735</t>
  </si>
  <si>
    <t>The Sting</t>
  </si>
  <si>
    <t>Comedy,Crime,Drama</t>
  </si>
  <si>
    <t>tt0059578</t>
  </si>
  <si>
    <t>For a Few Dollars More</t>
  </si>
  <si>
    <t>tt0080678</t>
  </si>
  <si>
    <t>The Elephant Man</t>
  </si>
  <si>
    <t>tt0057115</t>
  </si>
  <si>
    <t>The Great Escape</t>
  </si>
  <si>
    <t>Adventure,Drama,Thriller</t>
  </si>
  <si>
    <t>tt10272386</t>
  </si>
  <si>
    <t>The Father</t>
  </si>
  <si>
    <t>tt1305806</t>
  </si>
  <si>
    <t>The Secret in Their Eyes</t>
  </si>
  <si>
    <t>Drama,Mystery,Romance</t>
  </si>
  <si>
    <t>tt4729430</t>
  </si>
  <si>
    <t>Klaus</t>
  </si>
  <si>
    <t>tt29623480</t>
  </si>
  <si>
    <t>The Wild Robot</t>
  </si>
  <si>
    <t>tt0017136</t>
  </si>
  <si>
    <t>Metropolis</t>
  </si>
  <si>
    <t>Drama,Sci-Fi</t>
  </si>
  <si>
    <t>1920s</t>
  </si>
  <si>
    <t>tt0040522</t>
  </si>
  <si>
    <t>Bicycle Thieves</t>
  </si>
  <si>
    <t>tt10698680</t>
  </si>
  <si>
    <t>K.G.F: Chapter 2</t>
  </si>
  <si>
    <t>tt0089881</t>
  </si>
  <si>
    <t>Ran</t>
  </si>
  <si>
    <t>tt0042192</t>
  </si>
  <si>
    <t>All About Eve</t>
  </si>
  <si>
    <t>tt0012349</t>
  </si>
  <si>
    <t>The Kid</t>
  </si>
  <si>
    <t>Comedy,Drama,Family</t>
  </si>
  <si>
    <t>tt0055630</t>
  </si>
  <si>
    <t>Yojimbo</t>
  </si>
  <si>
    <t>Action,Drama,Thriller</t>
  </si>
  <si>
    <t>tt5323662</t>
  </si>
  <si>
    <t>A Silent Voice: The Movie</t>
  </si>
  <si>
    <t>Animation,Drama</t>
  </si>
  <si>
    <t>tt0040897</t>
  </si>
  <si>
    <t>The Treasure of the Sierra Madre</t>
  </si>
  <si>
    <t>tt4849438</t>
  </si>
  <si>
    <t>Baahubali 2: The Conclusion</t>
  </si>
  <si>
    <t>tt8108198</t>
  </si>
  <si>
    <t>Andhadhun</t>
  </si>
  <si>
    <t>Comedy,Crime,Mystery</t>
  </si>
  <si>
    <t>tt1954470</t>
  </si>
  <si>
    <t>Gangs of Wasseypur</t>
  </si>
  <si>
    <t>Action,Comedy,Crime</t>
  </si>
  <si>
    <t>tt4430212</t>
  </si>
  <si>
    <t>Drishyam</t>
  </si>
  <si>
    <t>tt0367110</t>
  </si>
  <si>
    <t>Swades</t>
  </si>
  <si>
    <t>Drama,Musical</t>
  </si>
  <si>
    <t>tt0476735</t>
  </si>
  <si>
    <t>My Father and My Son</t>
  </si>
  <si>
    <t>tt11032374</t>
  </si>
  <si>
    <t>Demon Slayer: Kimetsu no Yaiba - The Movie: Mugen Train</t>
  </si>
  <si>
    <t>How many Drama movies are there?</t>
  </si>
  <si>
    <t>Average rating for Drama?</t>
  </si>
  <si>
    <t>Highest rated movie?</t>
  </si>
  <si>
    <t>blockbuster</t>
  </si>
  <si>
    <t>what movie has the highest rating?</t>
  </si>
  <si>
    <t>Total blockbuster movie?</t>
  </si>
  <si>
    <t>How many Classic movies are there?</t>
  </si>
  <si>
    <t>is_classic2</t>
  </si>
  <si>
    <t>IMDB Data Analysis</t>
  </si>
  <si>
    <t>Row Labels</t>
  </si>
  <si>
    <t>(blank)</t>
  </si>
  <si>
    <t>Grand Total</t>
  </si>
  <si>
    <t>Average of rating</t>
  </si>
  <si>
    <t>Count of title</t>
  </si>
  <si>
    <t>Movie length</t>
  </si>
  <si>
    <t>Genre</t>
  </si>
  <si>
    <t>Year</t>
  </si>
  <si>
    <t>Number of movies</t>
  </si>
  <si>
    <t>Average of votes</t>
  </si>
  <si>
    <t>Movie Genre</t>
  </si>
  <si>
    <t>Count</t>
  </si>
  <si>
    <t>Classic</t>
  </si>
  <si>
    <t>Modern</t>
  </si>
  <si>
    <t>Movie Type</t>
  </si>
  <si>
    <t>No</t>
  </si>
  <si>
    <t>Yes</t>
  </si>
  <si>
    <t>Top 250 IMDB Movies Dashboard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</si>
</sst>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2" fontId="0" fillId="0" borderId="0" xfId="0" applyNumberFormat="1"/>
    <xf numFmtId="0" fontId="0" fillId="0" borderId="0" xfId="0" applyAlignment="1">
      <alignment horizontal="center"/>
    </xf>
    <xf numFmtId="0" fontId="18" fillId="0" borderId="0" xfId="0" applyFont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1" fontId="0" fillId="0" borderId="0" xfId="0" applyNumberFormat="1"/>
    <xf numFmtId="0" fontId="0" fillId="33" borderId="0" xfId="0" applyFill="1"/>
    <xf numFmtId="0" fontId="18" fillId="33" borderId="0" xfId="0" applyFont="1" applyFill="1" applyAlignment="1">
      <alignment horizontal="center"/>
    </xf>
    <xf numFmtId="0" fontId="19" fillId="33" borderId="0" xfId="0" applyFont="1" applyFill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6">
    <dxf>
      <numFmt numFmtId="0" formatCode="General"/>
    </dxf>
    <dxf>
      <numFmt numFmtId="1" formatCode="0"/>
    </dxf>
    <dxf>
      <numFmt numFmtId="2" formatCode="0.00"/>
    </dxf>
    <dxf>
      <numFmt numFmtId="2" formatCode="0.00"/>
    </dxf>
    <dxf>
      <numFmt numFmtId="2" formatCode="0.00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Top 10 Highest Rated Movies</a:t>
            </a:r>
            <a:endParaRPr lang="en-US"/>
          </a:p>
        </c:rich>
      </c:tx>
      <c:layout>
        <c:manualLayout>
          <c:xMode val="edge"/>
          <c:yMode val="edge"/>
          <c:x val="0.23449416361037517"/>
          <c:y val="3.876973047841585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KE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imdb!$B$2:$B$11</c:f>
              <c:strCache>
                <c:ptCount val="10"/>
                <c:pt idx="0">
                  <c:v>The Shawshank Redemption</c:v>
                </c:pt>
                <c:pt idx="1">
                  <c:v>The Godfather</c:v>
                </c:pt>
                <c:pt idx="2">
                  <c:v>The Dark Knight</c:v>
                </c:pt>
                <c:pt idx="3">
                  <c:v>The Lord of the Rings: The Return of the King</c:v>
                </c:pt>
                <c:pt idx="4">
                  <c:v>Schindler's List</c:v>
                </c:pt>
                <c:pt idx="5">
                  <c:v>The Godfather Part II</c:v>
                </c:pt>
                <c:pt idx="6">
                  <c:v>12 Angry Men</c:v>
                </c:pt>
                <c:pt idx="7">
                  <c:v>The Lord of the Rings: The Fellowship of the Ring</c:v>
                </c:pt>
                <c:pt idx="8">
                  <c:v>Inception</c:v>
                </c:pt>
                <c:pt idx="9">
                  <c:v>Fight Club</c:v>
                </c:pt>
              </c:strCache>
            </c:strRef>
          </c:cat>
          <c:val>
            <c:numRef>
              <c:f>imdb!$F$2:$F$11</c:f>
              <c:numCache>
                <c:formatCode>General</c:formatCode>
                <c:ptCount val="10"/>
                <c:pt idx="0">
                  <c:v>9.3000000000000007</c:v>
                </c:pt>
                <c:pt idx="1">
                  <c:v>9.1999999999999993</c:v>
                </c:pt>
                <c:pt idx="2">
                  <c:v>9.1</c:v>
                </c:pt>
                <c:pt idx="3">
                  <c:v>9</c:v>
                </c:pt>
                <c:pt idx="4">
                  <c:v>9</c:v>
                </c:pt>
                <c:pt idx="5">
                  <c:v>9</c:v>
                </c:pt>
                <c:pt idx="6">
                  <c:v>9</c:v>
                </c:pt>
                <c:pt idx="7">
                  <c:v>8.9</c:v>
                </c:pt>
                <c:pt idx="8">
                  <c:v>8.8000000000000007</c:v>
                </c:pt>
                <c:pt idx="9">
                  <c:v>8.8000000000000007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75B-48D4-911E-B79F935FC8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55493535"/>
        <c:axId val="101648383"/>
      </c:barChart>
      <c:catAx>
        <c:axId val="2554935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KE"/>
          </a:p>
        </c:txPr>
        <c:crossAx val="101648383"/>
        <c:crosses val="autoZero"/>
        <c:auto val="1"/>
        <c:lblAlgn val="ctr"/>
        <c:lblOffset val="100"/>
        <c:noMultiLvlLbl val="0"/>
      </c:catAx>
      <c:valAx>
        <c:axId val="1016483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KE"/>
          </a:p>
        </c:txPr>
        <c:crossAx val="2554935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KE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[imdb_clean.xlsx]pivot_blockbuster!PivotTable7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Blockbuster</a:t>
            </a:r>
            <a:r>
              <a:rPr lang="en-US" baseline="0"/>
              <a:t> vs Non Blockbuster Movie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KE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KE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KE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pivot_blockbuster!$B$3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FF29-499A-9A83-C270C04D9A8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FF29-499A-9A83-C270C04D9A8B}"/>
              </c:ext>
            </c:extLst>
          </c:dPt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KE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pivot_blockbuster!$A$4:$A$6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pivot_blockbuster!$B$4:$B$6</c:f>
              <c:numCache>
                <c:formatCode>General</c:formatCode>
                <c:ptCount val="2"/>
                <c:pt idx="0">
                  <c:v>70</c:v>
                </c:pt>
                <c:pt idx="1">
                  <c:v>105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F29-499A-9A83-C270C04D9A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KE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KE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[imdb_clean.xlsx]pivot_classic!PivotTable5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Classic vs Modern Movies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KE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KE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"/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KE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2"/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KE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KE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pivot_classic!$B$3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7BDD-44D4-8976-4C5CCEC781E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7BDD-44D4-8976-4C5CCEC781EC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7BDD-44D4-8976-4C5CCEC781EC}"/>
              </c:ext>
            </c:extLst>
          </c:dPt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KE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pivot_classic!$A$4:$A$6</c:f>
              <c:strCache>
                <c:ptCount val="2"/>
                <c:pt idx="0">
                  <c:v>Classic</c:v>
                </c:pt>
                <c:pt idx="1">
                  <c:v>Modern</c:v>
                </c:pt>
              </c:strCache>
            </c:strRef>
          </c:cat>
          <c:val>
            <c:numRef>
              <c:f>pivot_classic!$B$4:$B$6</c:f>
              <c:numCache>
                <c:formatCode>General</c:formatCode>
                <c:ptCount val="2"/>
                <c:pt idx="0">
                  <c:v>45</c:v>
                </c:pt>
                <c:pt idx="1">
                  <c:v>130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7BDD-44D4-8976-4C5CCEC781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KE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KE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[imdb_clean.xlsx]pivot_votes!PivotTable4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</a:t>
            </a:r>
            <a:r>
              <a:rPr lang="en-US" baseline="0"/>
              <a:t> votes by Genre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KE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K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K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pivot_votes!$B$3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pivot_votes!$A$4:$A$13</c:f>
              <c:strCache>
                <c:ptCount val="9"/>
                <c:pt idx="0">
                  <c:v>Mystery</c:v>
                </c:pt>
                <c:pt idx="1">
                  <c:v>Horror</c:v>
                </c:pt>
                <c:pt idx="2">
                  <c:v>Drama</c:v>
                </c:pt>
                <c:pt idx="3">
                  <c:v>Crime</c:v>
                </c:pt>
                <c:pt idx="4">
                  <c:v>Comedy</c:v>
                </c:pt>
                <c:pt idx="5">
                  <c:v>Biography</c:v>
                </c:pt>
                <c:pt idx="6">
                  <c:v>Animation</c:v>
                </c:pt>
                <c:pt idx="7">
                  <c:v>Adventure</c:v>
                </c:pt>
                <c:pt idx="8">
                  <c:v>Action</c:v>
                </c:pt>
              </c:strCache>
            </c:strRef>
          </c:cat>
          <c:val>
            <c:numRef>
              <c:f>pivot_votes!$B$4:$B$13</c:f>
              <c:numCache>
                <c:formatCode>0</c:formatCode>
                <c:ptCount val="9"/>
                <c:pt idx="0">
                  <c:v>459515</c:v>
                </c:pt>
                <c:pt idx="1">
                  <c:v>795697</c:v>
                </c:pt>
                <c:pt idx="2">
                  <c:v>741042.04</c:v>
                </c:pt>
                <c:pt idx="3">
                  <c:v>1102885.7857142857</c:v>
                </c:pt>
                <c:pt idx="4">
                  <c:v>490396.70588235295</c:v>
                </c:pt>
                <c:pt idx="5">
                  <c:v>859815.4615384615</c:v>
                </c:pt>
                <c:pt idx="6">
                  <c:v>306792</c:v>
                </c:pt>
                <c:pt idx="7">
                  <c:v>1020167.92</c:v>
                </c:pt>
                <c:pt idx="8">
                  <c:v>1022957.7777777778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63A-42BE-95EA-0E29F287A0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82961375"/>
        <c:axId val="2086908463"/>
      </c:barChart>
      <c:catAx>
        <c:axId val="20829613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KE"/>
          </a:p>
        </c:txPr>
        <c:crossAx val="2086908463"/>
        <c:crosses val="autoZero"/>
        <c:auto val="1"/>
        <c:lblAlgn val="ctr"/>
        <c:lblOffset val="100"/>
        <c:noMultiLvlLbl val="0"/>
      </c:catAx>
      <c:valAx>
        <c:axId val="20869084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KE"/>
          </a:p>
        </c:txPr>
        <c:crossAx val="208296137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KE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[imdb_clean.xlsx]pivot_genre!PivotTable1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rating</a:t>
            </a:r>
            <a:r>
              <a:rPr lang="en-US" baseline="0"/>
              <a:t> by Genre</a:t>
            </a:r>
            <a:endParaRPr lang="en-US"/>
          </a:p>
        </c:rich>
      </c:tx>
      <c:layout>
        <c:manualLayout>
          <c:xMode val="edge"/>
          <c:yMode val="edge"/>
          <c:x val="0.27405555555555555"/>
          <c:y val="0.1147200349956255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KE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K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K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pivot_genre!$B$3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pivot_genre!$A$4:$A$13</c:f>
              <c:strCache>
                <c:ptCount val="9"/>
                <c:pt idx="0">
                  <c:v>Action</c:v>
                </c:pt>
                <c:pt idx="1">
                  <c:v>Adventure</c:v>
                </c:pt>
                <c:pt idx="2">
                  <c:v>Animation</c:v>
                </c:pt>
                <c:pt idx="3">
                  <c:v>Biography</c:v>
                </c:pt>
                <c:pt idx="4">
                  <c:v>Comedy</c:v>
                </c:pt>
                <c:pt idx="5">
                  <c:v>Crime</c:v>
                </c:pt>
                <c:pt idx="6">
                  <c:v>Drama</c:v>
                </c:pt>
                <c:pt idx="7">
                  <c:v>Horror</c:v>
                </c:pt>
                <c:pt idx="8">
                  <c:v>Mystery</c:v>
                </c:pt>
              </c:strCache>
            </c:strRef>
          </c:cat>
          <c:val>
            <c:numRef>
              <c:f>pivot_genre!$B$4:$B$13</c:f>
              <c:numCache>
                <c:formatCode>0.00</c:formatCode>
                <c:ptCount val="9"/>
                <c:pt idx="0">
                  <c:v>8.3833333333333329</c:v>
                </c:pt>
                <c:pt idx="1">
                  <c:v>8.4239999999999995</c:v>
                </c:pt>
                <c:pt idx="2">
                  <c:v>8.3666666666666654</c:v>
                </c:pt>
                <c:pt idx="3">
                  <c:v>8.3923076923076927</c:v>
                </c:pt>
                <c:pt idx="4">
                  <c:v>8.3294117647058812</c:v>
                </c:pt>
                <c:pt idx="5">
                  <c:v>8.4678571428571416</c:v>
                </c:pt>
                <c:pt idx="6">
                  <c:v>8.3759999999999994</c:v>
                </c:pt>
                <c:pt idx="7">
                  <c:v>8.35</c:v>
                </c:pt>
                <c:pt idx="8">
                  <c:v>8.1999999999999993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07B-4087-AB05-B5E0E8B0FE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4918735"/>
        <c:axId val="204919983"/>
      </c:barChart>
      <c:catAx>
        <c:axId val="2049187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KE"/>
          </a:p>
        </c:txPr>
        <c:crossAx val="204919983"/>
        <c:crosses val="autoZero"/>
        <c:auto val="1"/>
        <c:lblAlgn val="ctr"/>
        <c:lblOffset val="100"/>
        <c:noMultiLvlLbl val="0"/>
      </c:catAx>
      <c:valAx>
        <c:axId val="2049199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KE"/>
          </a:p>
        </c:txPr>
        <c:crossAx val="2049187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KE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[imdb_clean.xlsx]pivot_votes!PivotTable4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Genre by average Votes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KE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K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pivot_votes!$B$3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pivot_votes!$A$4:$A$13</c:f>
              <c:strCache>
                <c:ptCount val="9"/>
                <c:pt idx="0">
                  <c:v>Mystery</c:v>
                </c:pt>
                <c:pt idx="1">
                  <c:v>Horror</c:v>
                </c:pt>
                <c:pt idx="2">
                  <c:v>Drama</c:v>
                </c:pt>
                <c:pt idx="3">
                  <c:v>Crime</c:v>
                </c:pt>
                <c:pt idx="4">
                  <c:v>Comedy</c:v>
                </c:pt>
                <c:pt idx="5">
                  <c:v>Biography</c:v>
                </c:pt>
                <c:pt idx="6">
                  <c:v>Animation</c:v>
                </c:pt>
                <c:pt idx="7">
                  <c:v>Adventure</c:v>
                </c:pt>
                <c:pt idx="8">
                  <c:v>Action</c:v>
                </c:pt>
              </c:strCache>
            </c:strRef>
          </c:cat>
          <c:val>
            <c:numRef>
              <c:f>pivot_votes!$B$4:$B$13</c:f>
              <c:numCache>
                <c:formatCode>0</c:formatCode>
                <c:ptCount val="9"/>
                <c:pt idx="0">
                  <c:v>459515</c:v>
                </c:pt>
                <c:pt idx="1">
                  <c:v>795697</c:v>
                </c:pt>
                <c:pt idx="2">
                  <c:v>741042.04</c:v>
                </c:pt>
                <c:pt idx="3">
                  <c:v>1102885.7857142857</c:v>
                </c:pt>
                <c:pt idx="4">
                  <c:v>490396.70588235295</c:v>
                </c:pt>
                <c:pt idx="5">
                  <c:v>859815.4615384615</c:v>
                </c:pt>
                <c:pt idx="6">
                  <c:v>306792</c:v>
                </c:pt>
                <c:pt idx="7">
                  <c:v>1020167.92</c:v>
                </c:pt>
                <c:pt idx="8">
                  <c:v>1022957.7777777778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DA3-4225-A18E-08D75E0AF5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56547119"/>
        <c:axId val="356547535"/>
      </c:barChart>
      <c:catAx>
        <c:axId val="3565471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KE"/>
          </a:p>
        </c:txPr>
        <c:crossAx val="356547535"/>
        <c:crosses val="autoZero"/>
        <c:auto val="1"/>
        <c:lblAlgn val="ctr"/>
        <c:lblOffset val="100"/>
        <c:noMultiLvlLbl val="0"/>
      </c:catAx>
      <c:valAx>
        <c:axId val="3565475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KE"/>
          </a:p>
        </c:txPr>
        <c:crossAx val="35654711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KE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417694</xdr:colOff>
      <xdr:row>13</xdr:row>
      <xdr:rowOff>170044</xdr:rowOff>
    </xdr:from>
    <xdr:to>
      <xdr:col>10</xdr:col>
      <xdr:colOff>192269</xdr:colOff>
      <xdr:row>26</xdr:row>
      <xdr:rowOff>27169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8C73AD4-E9AD-484E-98AA-BF80C3BF9F1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429145</xdr:colOff>
      <xdr:row>1</xdr:row>
      <xdr:rowOff>25036</xdr:rowOff>
    </xdr:from>
    <xdr:to>
      <xdr:col>12</xdr:col>
      <xdr:colOff>521220</xdr:colOff>
      <xdr:row>13</xdr:row>
      <xdr:rowOff>66311</xdr:rowOff>
    </xdr:to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id="{7DBCE839-7E43-4CD6-9A56-76182561BE9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251710</xdr:colOff>
      <xdr:row>13</xdr:row>
      <xdr:rowOff>163694</xdr:rowOff>
    </xdr:from>
    <xdr:to>
      <xdr:col>16</xdr:col>
      <xdr:colOff>118360</xdr:colOff>
      <xdr:row>26</xdr:row>
      <xdr:rowOff>39869</xdr:rowOff>
    </xdr:to>
    <xdr:graphicFrame macro="">
      <xdr:nvGraphicFramePr>
        <xdr:cNvPr id="4" name="Chart 1">
          <a:extLst>
            <a:ext uri="{FF2B5EF4-FFF2-40B4-BE49-F238E27FC236}">
              <a16:creationId xmlns:a16="http://schemas.microsoft.com/office/drawing/2014/main" id="{5F936194-DE48-415F-A422-9C245E8869F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57671</xdr:colOff>
      <xdr:row>1</xdr:row>
      <xdr:rowOff>25036</xdr:rowOff>
    </xdr:from>
    <xdr:to>
      <xdr:col>6</xdr:col>
      <xdr:colOff>375171</xdr:colOff>
      <xdr:row>13</xdr:row>
      <xdr:rowOff>59961</xdr:rowOff>
    </xdr:to>
    <xdr:graphicFrame macro="">
      <xdr:nvGraphicFramePr>
        <xdr:cNvPr id="5" name="Chart 1">
          <a:extLst>
            <a:ext uri="{FF2B5EF4-FFF2-40B4-BE49-F238E27FC236}">
              <a16:creationId xmlns:a16="http://schemas.microsoft.com/office/drawing/2014/main" id="{A5C701E2-FA56-42E3-9A32-9A14F69BB20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12</xdr:col>
      <xdr:colOff>572541</xdr:colOff>
      <xdr:row>1</xdr:row>
      <xdr:rowOff>25036</xdr:rowOff>
    </xdr:from>
    <xdr:to>
      <xdr:col>18</xdr:col>
      <xdr:colOff>591591</xdr:colOff>
      <xdr:row>13</xdr:row>
      <xdr:rowOff>59961</xdr:rowOff>
    </xdr:to>
    <xdr:graphicFrame macro="">
      <xdr:nvGraphicFramePr>
        <xdr:cNvPr id="6" name="Chart 1">
          <a:extLst>
            <a:ext uri="{FF2B5EF4-FFF2-40B4-BE49-F238E27FC236}">
              <a16:creationId xmlns:a16="http://schemas.microsoft.com/office/drawing/2014/main" id="{56E9B14D-EFD1-481B-A820-08E8478B99C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358775</xdr:colOff>
      <xdr:row>14</xdr:row>
      <xdr:rowOff>9525</xdr:rowOff>
    </xdr:from>
    <xdr:to>
      <xdr:col>6</xdr:col>
      <xdr:colOff>492125</xdr:colOff>
      <xdr:row>28</xdr:row>
      <xdr:rowOff>174625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4BD0A16-FDA2-4746-AA5A-17268A4F7C4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Naomi Sirya" refreshedDate="46162.694303935183" createdVersion="7" refreshedVersion="7" minRefreshableVersion="3" recordCount="176">
  <cacheSource type="worksheet">
    <worksheetSource ref="A1:O1048576" sheet="imdb"/>
  </cacheSource>
  <cacheFields count="15">
    <cacheField name="tconst" numFmtId="0">
      <sharedItems containsBlank="1"/>
    </cacheField>
    <cacheField name="title" numFmtId="0">
      <sharedItems containsBlank="1" containsMixedTypes="1" containsNumber="1" containsInteger="1" minValue="1917" maxValue="1917"/>
    </cacheField>
    <cacheField name="year" numFmtId="0">
      <sharedItems containsString="0" containsBlank="1" containsNumber="1" containsInteger="1" minValue="1921" maxValue="2026"/>
    </cacheField>
    <cacheField name="runtime_min" numFmtId="0">
      <sharedItems containsString="0" containsBlank="1" containsNumber="1" containsInteger="1" minValue="68" maxValue="321"/>
    </cacheField>
    <cacheField name="genres" numFmtId="0">
      <sharedItems containsBlank="1"/>
    </cacheField>
    <cacheField name="rating" numFmtId="0">
      <sharedItems containsString="0" containsBlank="1" containsNumber="1" minValue="8.1999999999999993" maxValue="9.3000000000000007"/>
    </cacheField>
    <cacheField name="votes" numFmtId="0">
      <sharedItems containsString="0" containsBlank="1" containsNumber="1" containsInteger="1" minValue="100755" maxValue="3189547"/>
    </cacheField>
    <cacheField name="rank" numFmtId="0">
      <sharedItems containsString="0" containsBlank="1" containsNumber="1" containsInteger="1" minValue="1" maxValue="175"/>
    </cacheField>
    <cacheField name="primary_genre" numFmtId="0">
      <sharedItems containsBlank="1" count="10">
        <s v="Drama"/>
        <s v="Crime"/>
        <s v="Action"/>
        <s v="Adventure"/>
        <s v="Biography"/>
        <s v="Comedy"/>
        <s v="Horror"/>
        <s v="Animation"/>
        <s v="Mystery"/>
        <m/>
      </sharedItems>
    </cacheField>
    <cacheField name="decade" numFmtId="0">
      <sharedItems containsBlank="1" count="12">
        <s v="1990s"/>
        <s v="1970s"/>
        <s v="2000s"/>
        <s v="1950s"/>
        <s v="2010s"/>
        <s v="1960s"/>
        <s v="1980s"/>
        <s v="2020s"/>
        <s v="1940s"/>
        <s v="1930s"/>
        <s v="1920s"/>
        <m/>
      </sharedItems>
    </cacheField>
    <cacheField name="runtime_category" numFmtId="0">
      <sharedItems containsBlank="1" count="4">
        <s v="normal"/>
        <s v="long"/>
        <s v="short"/>
        <m/>
      </sharedItems>
    </cacheField>
    <cacheField name="is_classic" numFmtId="0">
      <sharedItems containsBlank="1" count="3">
        <b v="0"/>
        <b v="1"/>
        <m/>
      </sharedItems>
    </cacheField>
    <cacheField name="votes_millions" numFmtId="0">
      <sharedItems containsString="0" containsBlank="1" containsNumber="1" minValue="0.1" maxValue="3.19"/>
    </cacheField>
    <cacheField name="blockbuster" numFmtId="0">
      <sharedItems containsBlank="1" count="3">
        <s v="Yes"/>
        <s v="No"/>
        <m/>
      </sharedItems>
    </cacheField>
    <cacheField name="is_classic2" numFmtId="0">
      <sharedItems containsBlank="1" count="3">
        <s v="Modern"/>
        <s v="Classic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76">
  <r>
    <s v="tt0111161"/>
    <s v="The Shawshank Redemption"/>
    <n v="1994"/>
    <n v="142"/>
    <s v="Drama"/>
    <n v="9.3000000000000007"/>
    <n v="3189547"/>
    <n v="1"/>
    <x v="0"/>
    <x v="0"/>
    <x v="0"/>
    <x v="0"/>
    <n v="3.19"/>
    <x v="0"/>
    <x v="0"/>
  </r>
  <r>
    <s v="tt0068646"/>
    <s v="The Godfather"/>
    <n v="1972"/>
    <n v="175"/>
    <s v="Crime,Drama"/>
    <n v="9.1999999999999993"/>
    <n v="2226753"/>
    <n v="2"/>
    <x v="1"/>
    <x v="1"/>
    <x v="1"/>
    <x v="1"/>
    <n v="2.23"/>
    <x v="0"/>
    <x v="1"/>
  </r>
  <r>
    <s v="tt0468569"/>
    <s v="The Dark Knight"/>
    <n v="2008"/>
    <n v="152"/>
    <s v="Action,Crime,Drama"/>
    <n v="9.1"/>
    <n v="3168745"/>
    <n v="3"/>
    <x v="2"/>
    <x v="2"/>
    <x v="1"/>
    <x v="0"/>
    <n v="3.17"/>
    <x v="0"/>
    <x v="0"/>
  </r>
  <r>
    <s v="tt0167260"/>
    <s v="The Lord of the Rings: The Return of the King"/>
    <n v="2003"/>
    <n v="201"/>
    <s v="Adventure,Drama,Fantasy"/>
    <n v="9"/>
    <n v="2165290"/>
    <n v="4"/>
    <x v="3"/>
    <x v="2"/>
    <x v="1"/>
    <x v="0"/>
    <n v="2.17"/>
    <x v="0"/>
    <x v="0"/>
  </r>
  <r>
    <s v="tt0108052"/>
    <s v="Schindler's List"/>
    <n v="1993"/>
    <n v="195"/>
    <s v="Biography,Drama,History"/>
    <n v="9"/>
    <n v="1586066"/>
    <n v="5"/>
    <x v="4"/>
    <x v="0"/>
    <x v="1"/>
    <x v="0"/>
    <n v="1.59"/>
    <x v="0"/>
    <x v="0"/>
  </r>
  <r>
    <s v="tt0071562"/>
    <s v="The Godfather Part II"/>
    <n v="1974"/>
    <n v="202"/>
    <s v="Crime,Drama"/>
    <n v="9"/>
    <n v="1495806"/>
    <n v="6"/>
    <x v="1"/>
    <x v="1"/>
    <x v="1"/>
    <x v="1"/>
    <n v="1.5"/>
    <x v="0"/>
    <x v="1"/>
  </r>
  <r>
    <s v="tt0050083"/>
    <s v="12 Angry Men"/>
    <n v="1957"/>
    <n v="96"/>
    <s v="Crime,Drama"/>
    <n v="9"/>
    <n v="984634"/>
    <n v="7"/>
    <x v="1"/>
    <x v="3"/>
    <x v="2"/>
    <x v="1"/>
    <n v="0.98"/>
    <x v="0"/>
    <x v="1"/>
  </r>
  <r>
    <s v="tt0120737"/>
    <s v="The Lord of the Rings: The Fellowship of the Ring"/>
    <n v="2001"/>
    <n v="178"/>
    <s v="Adventure,Drama,Fantasy"/>
    <n v="8.9"/>
    <n v="2207283"/>
    <n v="8"/>
    <x v="3"/>
    <x v="2"/>
    <x v="1"/>
    <x v="0"/>
    <n v="2.21"/>
    <x v="0"/>
    <x v="0"/>
  </r>
  <r>
    <s v="tt1375666"/>
    <s v="Inception"/>
    <n v="2010"/>
    <n v="148"/>
    <s v="Action,Adventure,Sci-Fi"/>
    <n v="8.8000000000000007"/>
    <n v="2817928"/>
    <n v="9"/>
    <x v="2"/>
    <x v="4"/>
    <x v="0"/>
    <x v="0"/>
    <n v="2.82"/>
    <x v="0"/>
    <x v="0"/>
  </r>
  <r>
    <s v="tt0137523"/>
    <s v="Fight Club"/>
    <n v="1999"/>
    <n v="139"/>
    <s v="Crime,Drama,Thriller"/>
    <n v="8.8000000000000007"/>
    <n v="2609320"/>
    <n v="10"/>
    <x v="1"/>
    <x v="0"/>
    <x v="0"/>
    <x v="0"/>
    <n v="2.61"/>
    <x v="0"/>
    <x v="0"/>
  </r>
  <r>
    <s v="tt0109830"/>
    <s v="Forrest Gump"/>
    <n v="1994"/>
    <n v="142"/>
    <s v="Drama,Romance"/>
    <n v="8.8000000000000007"/>
    <n v="2497456"/>
    <n v="11"/>
    <x v="0"/>
    <x v="0"/>
    <x v="0"/>
    <x v="0"/>
    <n v="2.5"/>
    <x v="0"/>
    <x v="0"/>
  </r>
  <r>
    <s v="tt0110912"/>
    <s v="Pulp Fiction"/>
    <n v="1994"/>
    <n v="154"/>
    <s v="Crime,Drama"/>
    <n v="8.8000000000000007"/>
    <n v="2435933"/>
    <n v="12"/>
    <x v="1"/>
    <x v="0"/>
    <x v="1"/>
    <x v="0"/>
    <n v="2.44"/>
    <x v="0"/>
    <x v="0"/>
  </r>
  <r>
    <s v="tt0167261"/>
    <s v="The Lord of the Rings: The Two Towers"/>
    <n v="2002"/>
    <n v="179"/>
    <s v="Adventure,Drama,Fantasy"/>
    <n v="8.8000000000000007"/>
    <n v="1957938"/>
    <n v="13"/>
    <x v="3"/>
    <x v="2"/>
    <x v="1"/>
    <x v="0"/>
    <n v="1.96"/>
    <x v="0"/>
    <x v="0"/>
  </r>
  <r>
    <s v="tt0060196"/>
    <s v="The Good, the Bad and the Ugly"/>
    <n v="1966"/>
    <n v="178"/>
    <s v="Adventure,Drama,Western"/>
    <n v="8.8000000000000007"/>
    <n v="891714"/>
    <n v="14"/>
    <x v="3"/>
    <x v="5"/>
    <x v="1"/>
    <x v="1"/>
    <n v="0.89"/>
    <x v="0"/>
    <x v="1"/>
  </r>
  <r>
    <s v="tt0816692"/>
    <s v="Interstellar"/>
    <n v="2014"/>
    <n v="169"/>
    <s v="Adventure,Drama,Sci-Fi"/>
    <n v="8.6999999999999993"/>
    <n v="2530273"/>
    <n v="15"/>
    <x v="3"/>
    <x v="4"/>
    <x v="1"/>
    <x v="0"/>
    <n v="2.5299999999999998"/>
    <x v="0"/>
    <x v="0"/>
  </r>
  <r>
    <s v="tt0133093"/>
    <s v="The Matrix"/>
    <n v="1999"/>
    <n v="136"/>
    <s v="Action,Sci-Fi"/>
    <n v="8.6999999999999993"/>
    <n v="2248191"/>
    <n v="16"/>
    <x v="2"/>
    <x v="0"/>
    <x v="0"/>
    <x v="0"/>
    <n v="2.25"/>
    <x v="0"/>
    <x v="0"/>
  </r>
  <r>
    <s v="tt0080684"/>
    <s v="Star Wars: Episode V - The Empire Strikes Back"/>
    <n v="1980"/>
    <n v="124"/>
    <s v="Action,Adventure,Fantasy"/>
    <n v="8.6999999999999993"/>
    <n v="1505616"/>
    <n v="17"/>
    <x v="2"/>
    <x v="6"/>
    <x v="0"/>
    <x v="0"/>
    <n v="1.51"/>
    <x v="0"/>
    <x v="0"/>
  </r>
  <r>
    <s v="tt0099685"/>
    <s v="GoodFellas"/>
    <n v="1990"/>
    <n v="145"/>
    <s v="Biography,Crime,Drama"/>
    <n v="8.6999999999999993"/>
    <n v="1392171"/>
    <n v="18"/>
    <x v="4"/>
    <x v="0"/>
    <x v="0"/>
    <x v="0"/>
    <n v="1.39"/>
    <x v="0"/>
    <x v="0"/>
  </r>
  <r>
    <s v="tt23849204"/>
    <s v="12th Fail"/>
    <n v="2023"/>
    <n v="147"/>
    <s v="Biography,Drama"/>
    <n v="8.6999999999999993"/>
    <n v="171657"/>
    <n v="19"/>
    <x v="4"/>
    <x v="7"/>
    <x v="0"/>
    <x v="0"/>
    <n v="0.17"/>
    <x v="1"/>
    <x v="0"/>
  </r>
  <r>
    <s v="tt0114369"/>
    <s v="Seven"/>
    <n v="1995"/>
    <n v="127"/>
    <s v="Crime,Drama,Mystery"/>
    <n v="8.6"/>
    <n v="2021789"/>
    <n v="20"/>
    <x v="1"/>
    <x v="0"/>
    <x v="0"/>
    <x v="0"/>
    <n v="2.02"/>
    <x v="0"/>
    <x v="0"/>
  </r>
  <r>
    <s v="tt0102926"/>
    <s v="The Silence of the Lambs"/>
    <n v="1991"/>
    <n v="118"/>
    <s v="Crime,Drama,Horror"/>
    <n v="8.6"/>
    <n v="1723917"/>
    <n v="21"/>
    <x v="1"/>
    <x v="0"/>
    <x v="0"/>
    <x v="0"/>
    <n v="1.72"/>
    <x v="0"/>
    <x v="0"/>
  </r>
  <r>
    <s v="tt0120815"/>
    <s v="Saving Private Ryan"/>
    <n v="1998"/>
    <n v="169"/>
    <s v="Drama,War"/>
    <n v="8.6"/>
    <n v="1639586"/>
    <n v="22"/>
    <x v="0"/>
    <x v="0"/>
    <x v="1"/>
    <x v="0"/>
    <n v="1.64"/>
    <x v="0"/>
    <x v="0"/>
  </r>
  <r>
    <s v="tt0076759"/>
    <s v="Star Wars: Episode IV - A New Hope"/>
    <n v="1977"/>
    <n v="121"/>
    <s v="Action,Adventure,Fantasy"/>
    <n v="8.6"/>
    <n v="1570960"/>
    <n v="23"/>
    <x v="2"/>
    <x v="1"/>
    <x v="0"/>
    <x v="1"/>
    <n v="1.57"/>
    <x v="0"/>
    <x v="1"/>
  </r>
  <r>
    <s v="tt0120689"/>
    <s v="The Green Mile"/>
    <n v="1999"/>
    <n v="189"/>
    <s v="Crime,Drama,Fantasy"/>
    <n v="8.6"/>
    <n v="1561989"/>
    <n v="24"/>
    <x v="1"/>
    <x v="0"/>
    <x v="1"/>
    <x v="0"/>
    <n v="1.56"/>
    <x v="0"/>
    <x v="0"/>
  </r>
  <r>
    <s v="tt0103064"/>
    <s v="Terminator 2: Judgment Day"/>
    <n v="1991"/>
    <n v="137"/>
    <s v="Action,Adventure,Sci-Fi"/>
    <n v="8.6"/>
    <n v="1284572"/>
    <n v="25"/>
    <x v="2"/>
    <x v="0"/>
    <x v="0"/>
    <x v="0"/>
    <n v="1.28"/>
    <x v="0"/>
    <x v="0"/>
  </r>
  <r>
    <s v="tt0073486"/>
    <s v="One Flew Over the Cuckoo's Nest"/>
    <n v="1975"/>
    <n v="133"/>
    <s v="Drama"/>
    <n v="8.6"/>
    <n v="1157549"/>
    <n v="26"/>
    <x v="0"/>
    <x v="1"/>
    <x v="0"/>
    <x v="1"/>
    <n v="1.1599999999999999"/>
    <x v="0"/>
    <x v="1"/>
  </r>
  <r>
    <s v="tt0245429"/>
    <s v="Spirited Away"/>
    <n v="2001"/>
    <n v="124"/>
    <s v="Adventure,Animation,Family"/>
    <n v="8.6"/>
    <n v="967483"/>
    <n v="27"/>
    <x v="3"/>
    <x v="2"/>
    <x v="0"/>
    <x v="0"/>
    <n v="0.97"/>
    <x v="0"/>
    <x v="0"/>
  </r>
  <r>
    <s v="tt0317248"/>
    <s v="City of God"/>
    <n v="2002"/>
    <n v="130"/>
    <s v="Crime,Drama"/>
    <n v="8.6"/>
    <n v="871176"/>
    <n v="28"/>
    <x v="1"/>
    <x v="2"/>
    <x v="0"/>
    <x v="0"/>
    <n v="0.87"/>
    <x v="0"/>
    <x v="0"/>
  </r>
  <r>
    <s v="tt0118799"/>
    <s v="Life Is Beautiful"/>
    <n v="1997"/>
    <n v="116"/>
    <s v="Comedy,Drama,Romance"/>
    <n v="8.6"/>
    <n v="813151"/>
    <n v="29"/>
    <x v="5"/>
    <x v="0"/>
    <x v="0"/>
    <x v="0"/>
    <n v="0.81"/>
    <x v="0"/>
    <x v="0"/>
  </r>
  <r>
    <s v="tt0038650"/>
    <s v="It's a Wonderful Life"/>
    <n v="1946"/>
    <n v="130"/>
    <s v="Drama,Family,Fantasy"/>
    <n v="8.6"/>
    <n v="554973"/>
    <n v="30"/>
    <x v="0"/>
    <x v="8"/>
    <x v="0"/>
    <x v="1"/>
    <n v="0.55000000000000004"/>
    <x v="0"/>
    <x v="1"/>
  </r>
  <r>
    <s v="tt0047478"/>
    <s v="Seven Samurai"/>
    <n v="1954"/>
    <n v="207"/>
    <s v="Action,Drama"/>
    <n v="8.6"/>
    <n v="401883"/>
    <n v="31"/>
    <x v="2"/>
    <x v="3"/>
    <x v="1"/>
    <x v="1"/>
    <n v="0.4"/>
    <x v="1"/>
    <x v="1"/>
  </r>
  <r>
    <s v="tt15097216"/>
    <s v="Jai Bhim"/>
    <n v="2021"/>
    <n v="164"/>
    <s v="Crime,Drama"/>
    <n v="8.6"/>
    <n v="234238"/>
    <n v="32"/>
    <x v="1"/>
    <x v="7"/>
    <x v="1"/>
    <x v="0"/>
    <n v="0.23"/>
    <x v="1"/>
    <x v="0"/>
  </r>
  <r>
    <s v="tt10189514"/>
    <s v="Soorarai Pottru"/>
    <n v="2020"/>
    <n v="153"/>
    <s v="Drama"/>
    <n v="8.6"/>
    <n v="131892"/>
    <n v="33"/>
    <x v="0"/>
    <x v="7"/>
    <x v="1"/>
    <x v="0"/>
    <n v="0.13"/>
    <x v="1"/>
    <x v="0"/>
  </r>
  <r>
    <s v="tt1853728"/>
    <s v="Django Unchained"/>
    <n v="2012"/>
    <n v="165"/>
    <s v="Drama,Western"/>
    <n v="8.5"/>
    <n v="1883363"/>
    <n v="34"/>
    <x v="0"/>
    <x v="4"/>
    <x v="1"/>
    <x v="0"/>
    <n v="1.88"/>
    <x v="0"/>
    <x v="0"/>
  </r>
  <r>
    <s v="tt0172495"/>
    <s v="Gladiator"/>
    <n v="2000"/>
    <n v="155"/>
    <s v="Action,Adventure,Drama"/>
    <n v="8.5"/>
    <n v="1850369"/>
    <n v="35"/>
    <x v="2"/>
    <x v="2"/>
    <x v="1"/>
    <x v="0"/>
    <n v="1.85"/>
    <x v="0"/>
    <x v="0"/>
  </r>
  <r>
    <s v="tt0482571"/>
    <s v="The Prestige"/>
    <n v="2006"/>
    <n v="130"/>
    <s v="Drama,Mystery,Sci-Fi"/>
    <n v="8.5"/>
    <n v="1588402"/>
    <n v="36"/>
    <x v="0"/>
    <x v="2"/>
    <x v="0"/>
    <x v="0"/>
    <n v="1.59"/>
    <x v="0"/>
    <x v="0"/>
  </r>
  <r>
    <s v="tt0407887"/>
    <s v="The Departed"/>
    <n v="2006"/>
    <n v="151"/>
    <s v="Crime,Drama,Thriller"/>
    <n v="8.5"/>
    <n v="1554593"/>
    <n v="37"/>
    <x v="1"/>
    <x v="2"/>
    <x v="1"/>
    <x v="0"/>
    <n v="1.55"/>
    <x v="0"/>
    <x v="0"/>
  </r>
  <r>
    <s v="tt0088763"/>
    <s v="Back to the Future"/>
    <n v="1985"/>
    <n v="116"/>
    <s v="Adventure,Comedy,Sci-Fi"/>
    <n v="8.5"/>
    <n v="1453660"/>
    <n v="38"/>
    <x v="3"/>
    <x v="6"/>
    <x v="0"/>
    <x v="0"/>
    <n v="1.45"/>
    <x v="0"/>
    <x v="0"/>
  </r>
  <r>
    <s v="tt0110413"/>
    <s v="LÃ©on: The Professional"/>
    <n v="1994"/>
    <n v="110"/>
    <s v="Action,Crime,Drama"/>
    <n v="8.5"/>
    <n v="1351367"/>
    <n v="39"/>
    <x v="2"/>
    <x v="0"/>
    <x v="0"/>
    <x v="0"/>
    <n v="1.35"/>
    <x v="0"/>
    <x v="0"/>
  </r>
  <r>
    <s v="tt0120586"/>
    <s v="American History X"/>
    <n v="1998"/>
    <n v="119"/>
    <s v="Crime,Drama"/>
    <n v="8.5"/>
    <n v="1273533"/>
    <n v="40"/>
    <x v="1"/>
    <x v="0"/>
    <x v="0"/>
    <x v="0"/>
    <n v="1.27"/>
    <x v="0"/>
    <x v="0"/>
  </r>
  <r>
    <s v="tt0110357"/>
    <s v="The Lion King"/>
    <n v="1994"/>
    <n v="88"/>
    <s v="Adventure,Animation,Drama"/>
    <n v="8.5"/>
    <n v="1259139"/>
    <n v="41"/>
    <x v="3"/>
    <x v="0"/>
    <x v="2"/>
    <x v="0"/>
    <n v="1.26"/>
    <x v="0"/>
    <x v="0"/>
  </r>
  <r>
    <s v="tt0114814"/>
    <s v="The Usual Suspects"/>
    <n v="1995"/>
    <n v="106"/>
    <s v="Crime,Drama,Mystery"/>
    <n v="8.5"/>
    <n v="1239606"/>
    <n v="42"/>
    <x v="1"/>
    <x v="0"/>
    <x v="0"/>
    <x v="0"/>
    <n v="1.24"/>
    <x v="0"/>
    <x v="0"/>
  </r>
  <r>
    <s v="tt6751668"/>
    <s v="Parasite"/>
    <n v="2019"/>
    <n v="132"/>
    <s v="Drama,Thriller"/>
    <n v="8.5"/>
    <n v="1164272"/>
    <n v="43"/>
    <x v="0"/>
    <x v="4"/>
    <x v="0"/>
    <x v="0"/>
    <n v="1.1599999999999999"/>
    <x v="0"/>
    <x v="0"/>
  </r>
  <r>
    <s v="tt2582802"/>
    <s v="Whiplash"/>
    <n v="2014"/>
    <n v="106"/>
    <s v="Drama,Music"/>
    <n v="8.5"/>
    <n v="1155239"/>
    <n v="44"/>
    <x v="0"/>
    <x v="4"/>
    <x v="0"/>
    <x v="0"/>
    <n v="1.1599999999999999"/>
    <x v="0"/>
    <x v="0"/>
  </r>
  <r>
    <s v="tt0078748"/>
    <s v="Alien"/>
    <n v="1979"/>
    <n v="117"/>
    <s v="Horror,Sci-Fi"/>
    <n v="8.5"/>
    <n v="1064456"/>
    <n v="45"/>
    <x v="6"/>
    <x v="1"/>
    <x v="0"/>
    <x v="1"/>
    <n v="1.06"/>
    <x v="0"/>
    <x v="1"/>
  </r>
  <r>
    <s v="tt1675434"/>
    <s v="The Intouchables"/>
    <n v="2011"/>
    <n v="112"/>
    <s v="Comedy,Drama"/>
    <n v="8.5"/>
    <n v="1027718"/>
    <n v="46"/>
    <x v="5"/>
    <x v="4"/>
    <x v="0"/>
    <x v="0"/>
    <n v="1.03"/>
    <x v="0"/>
    <x v="0"/>
  </r>
  <r>
    <s v="tt0253474"/>
    <s v="The Pianist"/>
    <n v="2002"/>
    <n v="150"/>
    <s v="Biography,Drama,Music"/>
    <n v="8.5"/>
    <n v="1012734"/>
    <n v="47"/>
    <x v="4"/>
    <x v="2"/>
    <x v="0"/>
    <x v="0"/>
    <n v="1.01"/>
    <x v="0"/>
    <x v="0"/>
  </r>
  <r>
    <s v="tt0054215"/>
    <s v="Psycho"/>
    <n v="1960"/>
    <n v="109"/>
    <s v="Drama,Horror,Mystery"/>
    <n v="8.5"/>
    <n v="785510"/>
    <n v="48"/>
    <x v="0"/>
    <x v="5"/>
    <x v="0"/>
    <x v="1"/>
    <n v="0.79"/>
    <x v="0"/>
    <x v="1"/>
  </r>
  <r>
    <s v="tt0034583"/>
    <s v="Casablanca"/>
    <n v="1942"/>
    <n v="102"/>
    <s v="Drama,Romance,War"/>
    <n v="8.5"/>
    <n v="655918"/>
    <n v="49"/>
    <x v="0"/>
    <x v="8"/>
    <x v="0"/>
    <x v="1"/>
    <n v="0.66"/>
    <x v="0"/>
    <x v="1"/>
  </r>
  <r>
    <s v="tt10811166"/>
    <s v="The Kashmir Files"/>
    <n v="2022"/>
    <n v="170"/>
    <s v="Drama"/>
    <n v="8.5"/>
    <n v="578990"/>
    <n v="50"/>
    <x v="0"/>
    <x v="7"/>
    <x v="1"/>
    <x v="0"/>
    <n v="0.57999999999999996"/>
    <x v="0"/>
    <x v="0"/>
  </r>
  <r>
    <s v="tt9362722"/>
    <s v="Spider-Man: Across the Spider-Verse"/>
    <n v="2023"/>
    <n v="140"/>
    <s v="Action,Adventure,Animation"/>
    <n v="8.5"/>
    <n v="524515"/>
    <n v="51"/>
    <x v="2"/>
    <x v="7"/>
    <x v="0"/>
    <x v="0"/>
    <n v="0.52"/>
    <x v="0"/>
    <x v="0"/>
  </r>
  <r>
    <s v="tt0095327"/>
    <s v="Grave of the Fireflies"/>
    <n v="1988"/>
    <n v="88"/>
    <s v="Animation,Drama,War"/>
    <n v="8.5"/>
    <n v="385658"/>
    <n v="52"/>
    <x v="7"/>
    <x v="6"/>
    <x v="2"/>
    <x v="0"/>
    <n v="0.39"/>
    <x v="1"/>
    <x v="0"/>
  </r>
  <r>
    <s v="tt0064116"/>
    <s v="Once Upon a Time in the West"/>
    <n v="1968"/>
    <n v="145"/>
    <s v="Drama,Western"/>
    <n v="8.5"/>
    <n v="384346"/>
    <n v="53"/>
    <x v="0"/>
    <x v="5"/>
    <x v="0"/>
    <x v="1"/>
    <n v="0.38"/>
    <x v="1"/>
    <x v="1"/>
  </r>
  <r>
    <s v="tt0095765"/>
    <s v="Cinema Paradiso"/>
    <n v="1988"/>
    <n v="174"/>
    <s v="Drama,Romance"/>
    <n v="8.5"/>
    <n v="317777"/>
    <n v="54"/>
    <x v="0"/>
    <x v="6"/>
    <x v="1"/>
    <x v="0"/>
    <n v="0.32"/>
    <x v="1"/>
    <x v="0"/>
  </r>
  <r>
    <s v="tt0027977"/>
    <s v="Modern Times"/>
    <n v="1936"/>
    <n v="87"/>
    <s v="Comedy,Drama,Romance"/>
    <n v="8.5"/>
    <n v="285341"/>
    <n v="55"/>
    <x v="5"/>
    <x v="9"/>
    <x v="2"/>
    <x v="1"/>
    <n v="0.28999999999999998"/>
    <x v="1"/>
    <x v="1"/>
  </r>
  <r>
    <s v="tt0021749"/>
    <s v="City Lights"/>
    <n v="1931"/>
    <n v="87"/>
    <s v="Comedy,Drama,Romance"/>
    <n v="8.5"/>
    <n v="216510"/>
    <n v="56"/>
    <x v="5"/>
    <x v="9"/>
    <x v="2"/>
    <x v="1"/>
    <n v="0.22"/>
    <x v="1"/>
    <x v="1"/>
  </r>
  <r>
    <s v="tt1345836"/>
    <s v="The Dark Knight Rises"/>
    <n v="2012"/>
    <n v="164"/>
    <s v="Action,Crime,Drama"/>
    <n v="8.4"/>
    <n v="1994675"/>
    <n v="57"/>
    <x v="2"/>
    <x v="4"/>
    <x v="1"/>
    <x v="0"/>
    <n v="1.99"/>
    <x v="0"/>
    <x v="0"/>
  </r>
  <r>
    <s v="tt0361748"/>
    <s v="Inglourious Basterds"/>
    <n v="2009"/>
    <n v="153"/>
    <s v="Adventure,Drama,War"/>
    <n v="8.4"/>
    <n v="1783866"/>
    <n v="58"/>
    <x v="3"/>
    <x v="2"/>
    <x v="1"/>
    <x v="0"/>
    <n v="1.78"/>
    <x v="0"/>
    <x v="0"/>
  </r>
  <r>
    <s v="tt4154796"/>
    <s v="Avengers: Endgame"/>
    <n v="2019"/>
    <n v="181"/>
    <s v="Action,Adventure,Sci-Fi"/>
    <n v="8.4"/>
    <n v="1447070"/>
    <n v="59"/>
    <x v="2"/>
    <x v="4"/>
    <x v="1"/>
    <x v="0"/>
    <n v="1.45"/>
    <x v="0"/>
    <x v="0"/>
  </r>
  <r>
    <s v="tt0209144"/>
    <s v="Memento"/>
    <n v="2000"/>
    <n v="113"/>
    <s v="Drama,Mystery,Thriller"/>
    <n v="8.4"/>
    <n v="1435593"/>
    <n v="60"/>
    <x v="0"/>
    <x v="2"/>
    <x v="0"/>
    <x v="0"/>
    <n v="1.44"/>
    <x v="0"/>
    <x v="0"/>
  </r>
  <r>
    <s v="tt4154756"/>
    <s v="Avengers: Infinity War"/>
    <n v="2018"/>
    <n v="149"/>
    <s v="Action,Adventure,Sci-Fi"/>
    <n v="8.4"/>
    <n v="1372533"/>
    <n v="61"/>
    <x v="2"/>
    <x v="4"/>
    <x v="0"/>
    <x v="0"/>
    <n v="1.37"/>
    <x v="0"/>
    <x v="0"/>
  </r>
  <r>
    <s v="tt0910970"/>
    <s v="WALLÂ·E"/>
    <n v="2008"/>
    <n v="98"/>
    <s v="Adventure,Animation,Family"/>
    <n v="8.4"/>
    <n v="1321292"/>
    <n v="62"/>
    <x v="3"/>
    <x v="2"/>
    <x v="2"/>
    <x v="0"/>
    <n v="1.32"/>
    <x v="0"/>
    <x v="0"/>
  </r>
  <r>
    <s v="tt0081505"/>
    <s v="The Shining"/>
    <n v="1980"/>
    <n v="146"/>
    <s v="Drama,Horror"/>
    <n v="8.4"/>
    <n v="1225869"/>
    <n v="63"/>
    <x v="0"/>
    <x v="6"/>
    <x v="0"/>
    <x v="0"/>
    <n v="1.23"/>
    <x v="0"/>
    <x v="0"/>
  </r>
  <r>
    <s v="tt0119217"/>
    <s v="Good Will Hunting"/>
    <n v="1997"/>
    <n v="126"/>
    <s v="Drama,Romance"/>
    <n v="8.4"/>
    <n v="1217550"/>
    <n v="64"/>
    <x v="0"/>
    <x v="0"/>
    <x v="0"/>
    <x v="0"/>
    <n v="1.22"/>
    <x v="0"/>
    <x v="0"/>
  </r>
  <r>
    <s v="tt0082971"/>
    <s v="Raiders of the Lost Ark"/>
    <n v="1981"/>
    <n v="115"/>
    <s v="Action,Adventure"/>
    <n v="8.4"/>
    <n v="1110633"/>
    <n v="65"/>
    <x v="2"/>
    <x v="6"/>
    <x v="0"/>
    <x v="0"/>
    <n v="1.1100000000000001"/>
    <x v="0"/>
    <x v="0"/>
  </r>
  <r>
    <s v="tt0090605"/>
    <s v="Aliens"/>
    <n v="1986"/>
    <n v="137"/>
    <s v="Action,Adventure,Horror"/>
    <n v="8.4"/>
    <n v="841005"/>
    <n v="66"/>
    <x v="2"/>
    <x v="6"/>
    <x v="0"/>
    <x v="0"/>
    <n v="0.84"/>
    <x v="0"/>
    <x v="0"/>
  </r>
  <r>
    <s v="tt4633694"/>
    <s v="Spider-Man: Into the Spider-Verse"/>
    <n v="2018"/>
    <n v="117"/>
    <s v="Action,Adventure,Animation"/>
    <n v="8.4"/>
    <n v="789530"/>
    <n v="67"/>
    <x v="2"/>
    <x v="4"/>
    <x v="0"/>
    <x v="0"/>
    <n v="0.79"/>
    <x v="0"/>
    <x v="0"/>
  </r>
  <r>
    <s v="tt0078788"/>
    <s v="Apocalypse Now"/>
    <n v="1979"/>
    <n v="147"/>
    <s v="Drama,Mystery,War"/>
    <n v="8.4"/>
    <n v="770471"/>
    <n v="68"/>
    <x v="0"/>
    <x v="1"/>
    <x v="0"/>
    <x v="1"/>
    <n v="0.77"/>
    <x v="0"/>
    <x v="1"/>
  </r>
  <r>
    <s v="tt15239678"/>
    <s v="Dune: Part Two"/>
    <n v="2024"/>
    <n v="166"/>
    <s v="Action,Adventure,Drama"/>
    <n v="8.4"/>
    <n v="746896"/>
    <n v="69"/>
    <x v="2"/>
    <x v="7"/>
    <x v="1"/>
    <x v="0"/>
    <n v="0.75"/>
    <x v="0"/>
    <x v="0"/>
  </r>
  <r>
    <s v="tt2380307"/>
    <s v="Coco"/>
    <n v="2017"/>
    <n v="105"/>
    <s v="Adventure,Animation,Drama"/>
    <n v="8.4"/>
    <n v="707654"/>
    <n v="70"/>
    <x v="3"/>
    <x v="4"/>
    <x v="0"/>
    <x v="0"/>
    <n v="0.71"/>
    <x v="0"/>
    <x v="0"/>
  </r>
  <r>
    <s v="tt0047396"/>
    <s v="Rear Window"/>
    <n v="1954"/>
    <n v="112"/>
    <s v="Drama,Mystery,Thriller"/>
    <n v="8.4"/>
    <n v="569513"/>
    <n v="71"/>
    <x v="0"/>
    <x v="3"/>
    <x v="0"/>
    <x v="1"/>
    <n v="0.56999999999999995"/>
    <x v="0"/>
    <x v="1"/>
  </r>
  <r>
    <s v="tt1187043"/>
    <s v="3 Idiots"/>
    <n v="2009"/>
    <n v="170"/>
    <s v="Comedy,Drama"/>
    <n v="8.4"/>
    <n v="482290"/>
    <n v="72"/>
    <x v="5"/>
    <x v="2"/>
    <x v="1"/>
    <x v="0"/>
    <n v="0.48"/>
    <x v="1"/>
    <x v="0"/>
  </r>
  <r>
    <s v="tt0086879"/>
    <s v="Amadeus"/>
    <n v="1984"/>
    <n v="160"/>
    <s v="Biography,Drama,Music"/>
    <n v="8.4"/>
    <n v="468255"/>
    <n v="73"/>
    <x v="4"/>
    <x v="6"/>
    <x v="1"/>
    <x v="0"/>
    <n v="0.47"/>
    <x v="1"/>
    <x v="0"/>
  </r>
  <r>
    <s v="tt0405094"/>
    <s v="The Lives of Others"/>
    <n v="2006"/>
    <n v="137"/>
    <s v="Drama,Mystery,Thriller"/>
    <n v="8.4"/>
    <n v="443346"/>
    <n v="74"/>
    <x v="0"/>
    <x v="2"/>
    <x v="0"/>
    <x v="0"/>
    <n v="0.44"/>
    <x v="1"/>
    <x v="0"/>
  </r>
  <r>
    <s v="tt5311514"/>
    <s v="Your Name."/>
    <n v="2016"/>
    <n v="106"/>
    <s v="Animation,Drama,Fantasy"/>
    <n v="8.4"/>
    <n v="392684"/>
    <n v="75"/>
    <x v="7"/>
    <x v="4"/>
    <x v="0"/>
    <x v="0"/>
    <n v="0.39"/>
    <x v="1"/>
    <x v="0"/>
  </r>
  <r>
    <s v="tt0043014"/>
    <s v="Sunset Boulevard"/>
    <n v="1950"/>
    <n v="110"/>
    <s v="Drama,Film-Noir"/>
    <n v="8.4"/>
    <n v="261296"/>
    <n v="76"/>
    <x v="0"/>
    <x v="3"/>
    <x v="0"/>
    <x v="1"/>
    <n v="0.26"/>
    <x v="1"/>
    <x v="1"/>
  </r>
  <r>
    <s v="tt0032553"/>
    <s v="The Great Dictator"/>
    <n v="1940"/>
    <n v="125"/>
    <s v="Comedy,Drama,War"/>
    <n v="8.4"/>
    <n v="259563"/>
    <n v="77"/>
    <x v="5"/>
    <x v="8"/>
    <x v="0"/>
    <x v="1"/>
    <n v="0.26"/>
    <x v="1"/>
    <x v="1"/>
  </r>
  <r>
    <s v="tt0050825"/>
    <s v="Paths of Glory"/>
    <n v="1957"/>
    <n v="88"/>
    <s v="Drama,War"/>
    <n v="8.4"/>
    <n v="238923"/>
    <n v="78"/>
    <x v="0"/>
    <x v="3"/>
    <x v="2"/>
    <x v="1"/>
    <n v="0.24"/>
    <x v="1"/>
    <x v="1"/>
  </r>
  <r>
    <s v="tt0051201"/>
    <s v="Witness for the Prosecution"/>
    <n v="1957"/>
    <n v="116"/>
    <s v="Crime,Drama,Mystery"/>
    <n v="8.4"/>
    <n v="162277"/>
    <n v="79"/>
    <x v="1"/>
    <x v="3"/>
    <x v="0"/>
    <x v="1"/>
    <n v="0.16"/>
    <x v="1"/>
    <x v="1"/>
  </r>
  <r>
    <s v="tt8267604"/>
    <s v="Capernaum"/>
    <n v="2018"/>
    <n v="126"/>
    <s v="Drama"/>
    <n v="8.4"/>
    <n v="124319"/>
    <n v="80"/>
    <x v="0"/>
    <x v="4"/>
    <x v="0"/>
    <x v="0"/>
    <n v="0.12"/>
    <x v="1"/>
    <x v="0"/>
  </r>
  <r>
    <s v="tt7286456"/>
    <s v="Joker"/>
    <n v="2019"/>
    <n v="122"/>
    <s v="Crime,Drama,Thriller"/>
    <n v="8.3000000000000007"/>
    <n v="1694265"/>
    <n v="81"/>
    <x v="1"/>
    <x v="4"/>
    <x v="0"/>
    <x v="0"/>
    <n v="1.69"/>
    <x v="0"/>
    <x v="0"/>
  </r>
  <r>
    <s v="tt0169547"/>
    <s v="American Beauty"/>
    <n v="1999"/>
    <n v="122"/>
    <s v="Drama"/>
    <n v="8.3000000000000007"/>
    <n v="1280108"/>
    <n v="82"/>
    <x v="0"/>
    <x v="0"/>
    <x v="0"/>
    <x v="0"/>
    <n v="1.28"/>
    <x v="0"/>
    <x v="0"/>
  </r>
  <r>
    <s v="tt1049413"/>
    <s v="Up"/>
    <n v="2009"/>
    <n v="96"/>
    <s v="Adventure,Animation,Comedy"/>
    <n v="8.3000000000000007"/>
    <n v="1236319"/>
    <n v="83"/>
    <x v="3"/>
    <x v="2"/>
    <x v="2"/>
    <x v="0"/>
    <n v="1.24"/>
    <x v="0"/>
    <x v="0"/>
  </r>
  <r>
    <s v="tt0086190"/>
    <s v="Star Wars: Episode VI - Return of the Jedi"/>
    <n v="1983"/>
    <n v="131"/>
    <s v="Action,Adventure,Fantasy"/>
    <n v="8.3000000000000007"/>
    <n v="1210244"/>
    <n v="84"/>
    <x v="2"/>
    <x v="6"/>
    <x v="0"/>
    <x v="0"/>
    <n v="1.21"/>
    <x v="0"/>
    <x v="0"/>
  </r>
  <r>
    <s v="tt0338013"/>
    <s v="Eternal Sunshine of the Spotless Mind"/>
    <n v="2004"/>
    <n v="108"/>
    <s v="Drama,Romance,Sci-Fi"/>
    <n v="8.3000000000000007"/>
    <n v="1183182"/>
    <n v="85"/>
    <x v="0"/>
    <x v="2"/>
    <x v="0"/>
    <x v="0"/>
    <n v="1.18"/>
    <x v="0"/>
    <x v="0"/>
  </r>
  <r>
    <s v="tt0114709"/>
    <s v="Toy Story"/>
    <n v="1995"/>
    <n v="81"/>
    <s v="Adventure,Animation,Comedy"/>
    <n v="8.3000000000000007"/>
    <n v="1174415"/>
    <n v="86"/>
    <x v="3"/>
    <x v="0"/>
    <x v="2"/>
    <x v="0"/>
    <n v="1.17"/>
    <x v="0"/>
    <x v="0"/>
  </r>
  <r>
    <s v="tt0105236"/>
    <s v="Reservoir Dogs"/>
    <n v="1992"/>
    <n v="99"/>
    <s v="Crime,Thriller"/>
    <n v="8.3000000000000007"/>
    <n v="1171145"/>
    <n v="87"/>
    <x v="1"/>
    <x v="0"/>
    <x v="2"/>
    <x v="0"/>
    <n v="1.17"/>
    <x v="0"/>
    <x v="0"/>
  </r>
  <r>
    <s v="tt0112573"/>
    <s v="Braveheart"/>
    <n v="1995"/>
    <n v="178"/>
    <s v="Biography,Drama,War"/>
    <n v="8.3000000000000007"/>
    <n v="1161420"/>
    <n v="88"/>
    <x v="4"/>
    <x v="0"/>
    <x v="1"/>
    <x v="0"/>
    <n v="1.1599999999999999"/>
    <x v="0"/>
    <x v="0"/>
  </r>
  <r>
    <s v="tt0086250"/>
    <s v="Scarface"/>
    <n v="1983"/>
    <n v="170"/>
    <s v="Crime,Drama"/>
    <n v="8.3000000000000007"/>
    <n v="1016236"/>
    <n v="89"/>
    <x v="1"/>
    <x v="6"/>
    <x v="1"/>
    <x v="0"/>
    <n v="1.02"/>
    <x v="0"/>
    <x v="0"/>
  </r>
  <r>
    <s v="tt0180093"/>
    <s v="Requiem for a Dream"/>
    <n v="2000"/>
    <n v="102"/>
    <s v="Drama"/>
    <n v="8.3000000000000007"/>
    <n v="973781"/>
    <n v="90"/>
    <x v="0"/>
    <x v="2"/>
    <x v="0"/>
    <x v="0"/>
    <n v="0.97"/>
    <x v="0"/>
    <x v="0"/>
  </r>
  <r>
    <s v="tt0435761"/>
    <s v="Toy Story 3"/>
    <n v="2010"/>
    <n v="103"/>
    <s v="Adventure,Animation,Comedy"/>
    <n v="8.3000000000000007"/>
    <n v="970005"/>
    <n v="91"/>
    <x v="3"/>
    <x v="4"/>
    <x v="0"/>
    <x v="0"/>
    <n v="0.97"/>
    <x v="0"/>
    <x v="0"/>
  </r>
  <r>
    <s v="tt0211915"/>
    <s v="AmÃ©lie"/>
    <n v="2001"/>
    <n v="122"/>
    <s v="Comedy,Romance"/>
    <n v="8.3000000000000007"/>
    <n v="840156"/>
    <n v="92"/>
    <x v="5"/>
    <x v="2"/>
    <x v="0"/>
    <x v="0"/>
    <n v="0.84"/>
    <x v="0"/>
    <x v="0"/>
  </r>
  <r>
    <s v="tt0113277"/>
    <s v="Heat"/>
    <n v="1995"/>
    <n v="170"/>
    <s v="Action,Crime,Drama"/>
    <n v="8.3000000000000007"/>
    <n v="804392"/>
    <n v="93"/>
    <x v="2"/>
    <x v="0"/>
    <x v="1"/>
    <x v="0"/>
    <n v="0.8"/>
    <x v="0"/>
    <x v="0"/>
  </r>
  <r>
    <s v="tt0062622"/>
    <s v="2001: A Space Odyssey"/>
    <n v="1968"/>
    <n v="149"/>
    <s v="Adventure,Sci-Fi"/>
    <n v="8.3000000000000007"/>
    <n v="783993"/>
    <n v="94"/>
    <x v="3"/>
    <x v="5"/>
    <x v="0"/>
    <x v="1"/>
    <n v="0.78"/>
    <x v="0"/>
    <x v="1"/>
  </r>
  <r>
    <s v="tt0364569"/>
    <s v="Oldboy"/>
    <n v="2003"/>
    <n v="120"/>
    <s v="Action,Drama,Mystery"/>
    <n v="8.3000000000000007"/>
    <n v="719135"/>
    <n v="95"/>
    <x v="2"/>
    <x v="2"/>
    <x v="0"/>
    <x v="0"/>
    <n v="0.72"/>
    <x v="0"/>
    <x v="0"/>
  </r>
  <r>
    <s v="tt0057012"/>
    <s v="Dr. Strangelove or: How I Learned to Stop Worrying and Love the Bomb"/>
    <n v="1964"/>
    <n v="95"/>
    <s v="Comedy,War"/>
    <n v="8.3000000000000007"/>
    <n v="551671"/>
    <n v="96"/>
    <x v="5"/>
    <x v="5"/>
    <x v="2"/>
    <x v="1"/>
    <n v="0.55000000000000004"/>
    <x v="0"/>
    <x v="1"/>
  </r>
  <r>
    <s v="tt0119698"/>
    <s v="Princess Mononoke"/>
    <n v="1997"/>
    <n v="133"/>
    <s v="Adventure,Animation,Fantasy"/>
    <n v="8.3000000000000007"/>
    <n v="484123"/>
    <n v="97"/>
    <x v="3"/>
    <x v="0"/>
    <x v="0"/>
    <x v="0"/>
    <n v="0.48"/>
    <x v="1"/>
    <x v="0"/>
  </r>
  <r>
    <s v="tt2106476"/>
    <s v="The Hunt"/>
    <n v="2012"/>
    <n v="115"/>
    <s v="Drama"/>
    <n v="8.3000000000000007"/>
    <n v="409667"/>
    <n v="98"/>
    <x v="0"/>
    <x v="4"/>
    <x v="0"/>
    <x v="0"/>
    <n v="0.41"/>
    <x v="1"/>
    <x v="0"/>
  </r>
  <r>
    <s v="tt0087843"/>
    <s v="Once Upon a Time in America"/>
    <n v="1984"/>
    <n v="229"/>
    <s v="Crime,Drama"/>
    <n v="8.3000000000000007"/>
    <n v="409135"/>
    <n v="99"/>
    <x v="1"/>
    <x v="6"/>
    <x v="1"/>
    <x v="0"/>
    <n v="0.41"/>
    <x v="1"/>
    <x v="0"/>
  </r>
  <r>
    <s v="tt0053125"/>
    <s v="North by Northwest"/>
    <n v="1959"/>
    <n v="136"/>
    <s v="Adventure,Drama,Mystery"/>
    <n v="8.3000000000000007"/>
    <n v="369859"/>
    <n v="100"/>
    <x v="3"/>
    <x v="3"/>
    <x v="0"/>
    <x v="1"/>
    <n v="0.37"/>
    <x v="1"/>
    <x v="1"/>
  </r>
  <r>
    <s v="tt0056172"/>
    <s v="Lawrence of Arabia"/>
    <n v="1962"/>
    <n v="227"/>
    <s v="Adventure,Biography,Drama"/>
    <n v="8.3000000000000007"/>
    <n v="342373"/>
    <n v="101"/>
    <x v="3"/>
    <x v="5"/>
    <x v="1"/>
    <x v="1"/>
    <n v="0.34"/>
    <x v="1"/>
    <x v="1"/>
  </r>
  <r>
    <s v="tt12042730"/>
    <s v="Project Hail Mary"/>
    <n v="2026"/>
    <n v="156"/>
    <s v="Adventure,Comedy,Drama"/>
    <n v="8.3000000000000007"/>
    <n v="296751"/>
    <n v="102"/>
    <x v="3"/>
    <x v="7"/>
    <x v="1"/>
    <x v="0"/>
    <n v="0.3"/>
    <x v="1"/>
    <x v="0"/>
  </r>
  <r>
    <s v="tt0082096"/>
    <s v="Das Boot"/>
    <n v="1981"/>
    <n v="149"/>
    <s v="Drama,War"/>
    <n v="8.3000000000000007"/>
    <n v="288028"/>
    <n v="103"/>
    <x v="0"/>
    <x v="6"/>
    <x v="0"/>
    <x v="0"/>
    <n v="0.28999999999999998"/>
    <x v="1"/>
    <x v="0"/>
  </r>
  <r>
    <s v="tt0045152"/>
    <s v="Singin' in the Rain"/>
    <n v="1952"/>
    <n v="103"/>
    <s v="Comedy,Musical,Romance"/>
    <n v="8.3000000000000007"/>
    <n v="282727"/>
    <n v="104"/>
    <x v="5"/>
    <x v="3"/>
    <x v="0"/>
    <x v="1"/>
    <n v="0.28000000000000003"/>
    <x v="1"/>
    <x v="1"/>
  </r>
  <r>
    <s v="tt1832382"/>
    <s v="A Separation"/>
    <n v="2011"/>
    <n v="123"/>
    <s v="Drama"/>
    <n v="8.3000000000000007"/>
    <n v="277833"/>
    <n v="105"/>
    <x v="0"/>
    <x v="4"/>
    <x v="0"/>
    <x v="0"/>
    <n v="0.28000000000000003"/>
    <x v="1"/>
    <x v="0"/>
  </r>
  <r>
    <s v="tt1255953"/>
    <s v="Incendies"/>
    <n v="2010"/>
    <n v="131"/>
    <s v="Drama,Mystery,War"/>
    <n v="8.3000000000000007"/>
    <n v="251117"/>
    <n v="106"/>
    <x v="0"/>
    <x v="4"/>
    <x v="0"/>
    <x v="0"/>
    <n v="0.25"/>
    <x v="1"/>
    <x v="0"/>
  </r>
  <r>
    <s v="tt5074352"/>
    <s v="Dangal"/>
    <n v="2016"/>
    <n v="161"/>
    <s v="Action,Biography,Drama"/>
    <n v="8.3000000000000007"/>
    <n v="243185"/>
    <n v="107"/>
    <x v="2"/>
    <x v="4"/>
    <x v="1"/>
    <x v="0"/>
    <n v="0.24"/>
    <x v="1"/>
    <x v="0"/>
  </r>
  <r>
    <s v="tt0986264"/>
    <s v="Like Stars on Earth"/>
    <n v="2007"/>
    <n v="162"/>
    <s v="Drama,Family"/>
    <n v="8.3000000000000007"/>
    <n v="232327"/>
    <n v="108"/>
    <x v="0"/>
    <x v="2"/>
    <x v="1"/>
    <x v="0"/>
    <n v="0.23"/>
    <x v="1"/>
    <x v="0"/>
  </r>
  <r>
    <s v="tt0053604"/>
    <s v="The Apartment"/>
    <n v="1960"/>
    <n v="125"/>
    <s v="Comedy,Drama,Romance"/>
    <n v="8.3000000000000007"/>
    <n v="219479"/>
    <n v="109"/>
    <x v="5"/>
    <x v="5"/>
    <x v="0"/>
    <x v="1"/>
    <n v="0.22"/>
    <x v="1"/>
    <x v="1"/>
  </r>
  <r>
    <s v="tt0022100"/>
    <s v="M"/>
    <n v="1931"/>
    <n v="99"/>
    <s v="Crime,Mystery,Thriller"/>
    <n v="8.3000000000000007"/>
    <n v="182932"/>
    <n v="110"/>
    <x v="1"/>
    <x v="9"/>
    <x v="2"/>
    <x v="1"/>
    <n v="0.18"/>
    <x v="1"/>
    <x v="1"/>
  </r>
  <r>
    <s v="tt0036775"/>
    <s v="Double Indemnity"/>
    <n v="1944"/>
    <n v="107"/>
    <s v="Crime,Drama,Film-Noir"/>
    <n v="8.3000000000000007"/>
    <n v="181459"/>
    <n v="111"/>
    <x v="1"/>
    <x v="8"/>
    <x v="0"/>
    <x v="1"/>
    <n v="0.18"/>
    <x v="1"/>
    <x v="1"/>
  </r>
  <r>
    <s v="tt8503618"/>
    <s v="Hamilton"/>
    <n v="2020"/>
    <n v="160"/>
    <s v="Biography,Drama,History"/>
    <n v="8.3000000000000007"/>
    <n v="139288"/>
    <n v="112"/>
    <x v="4"/>
    <x v="7"/>
    <x v="1"/>
    <x v="0"/>
    <n v="0.14000000000000001"/>
    <x v="1"/>
    <x v="0"/>
  </r>
  <r>
    <s v="tt33014583"/>
    <s v="Dhurandhar"/>
    <n v="2025"/>
    <n v="214"/>
    <s v="Action,Adventure,Crime"/>
    <n v="8.3000000000000007"/>
    <n v="139229"/>
    <n v="113"/>
    <x v="2"/>
    <x v="7"/>
    <x v="1"/>
    <x v="0"/>
    <n v="0.14000000000000001"/>
    <x v="1"/>
    <x v="0"/>
  </r>
  <r>
    <s v="tt8110330"/>
    <s v="Dil Bechara"/>
    <n v="2020"/>
    <n v="101"/>
    <s v="Comedy,Drama,Romance"/>
    <n v="8.3000000000000007"/>
    <n v="137736"/>
    <n v="114"/>
    <x v="5"/>
    <x v="7"/>
    <x v="0"/>
    <x v="0"/>
    <n v="0.14000000000000001"/>
    <x v="1"/>
    <x v="0"/>
  </r>
  <r>
    <s v="tt10295212"/>
    <s v="Shershaah"/>
    <n v="2021"/>
    <n v="135"/>
    <s v="Action,Biography,Drama"/>
    <n v="8.3000000000000007"/>
    <n v="136510"/>
    <n v="115"/>
    <x v="2"/>
    <x v="7"/>
    <x v="0"/>
    <x v="0"/>
    <n v="0.14000000000000001"/>
    <x v="1"/>
    <x v="0"/>
  </r>
  <r>
    <s v="tt0091251"/>
    <s v="Come and See"/>
    <n v="1985"/>
    <n v="142"/>
    <s v="Drama,Thriller,War"/>
    <n v="8.3000000000000007"/>
    <n v="122979"/>
    <n v="116"/>
    <x v="0"/>
    <x v="6"/>
    <x v="0"/>
    <x v="0"/>
    <n v="0.12"/>
    <x v="1"/>
    <x v="0"/>
  </r>
  <r>
    <s v="tt0044741"/>
    <s v="Ikiru"/>
    <n v="1952"/>
    <n v="143"/>
    <s v="Drama"/>
    <n v="8.3000000000000007"/>
    <n v="102362"/>
    <n v="117"/>
    <x v="0"/>
    <x v="3"/>
    <x v="0"/>
    <x v="1"/>
    <n v="0.1"/>
    <x v="1"/>
    <x v="1"/>
  </r>
  <r>
    <s v="tt0993846"/>
    <s v="The Wolf of Wall Street"/>
    <n v="2013"/>
    <n v="180"/>
    <s v="Biography,Comedy,Crime"/>
    <n v="8.1999999999999993"/>
    <n v="1788459"/>
    <n v="118"/>
    <x v="4"/>
    <x v="4"/>
    <x v="1"/>
    <x v="0"/>
    <n v="1.79"/>
    <x v="0"/>
    <x v="0"/>
  </r>
  <r>
    <s v="tt0372784"/>
    <s v="Batman Begins"/>
    <n v="2005"/>
    <n v="140"/>
    <s v="Action,Crime,Drama"/>
    <n v="8.1999999999999993"/>
    <n v="1714592"/>
    <n v="119"/>
    <x v="2"/>
    <x v="2"/>
    <x v="0"/>
    <x v="0"/>
    <n v="1.71"/>
    <x v="0"/>
    <x v="0"/>
  </r>
  <r>
    <s v="tt1130884"/>
    <s v="Shutter Island"/>
    <n v="2010"/>
    <n v="138"/>
    <s v="Drama,Mystery,Thriller"/>
    <n v="8.1999999999999993"/>
    <n v="1648243"/>
    <n v="120"/>
    <x v="0"/>
    <x v="4"/>
    <x v="0"/>
    <x v="0"/>
    <n v="1.65"/>
    <x v="0"/>
    <x v="0"/>
  </r>
  <r>
    <s v="tt0120382"/>
    <s v="The Truman Show"/>
    <n v="1998"/>
    <n v="103"/>
    <s v="Comedy,Drama"/>
    <n v="8.1999999999999993"/>
    <n v="1374276"/>
    <n v="121"/>
    <x v="5"/>
    <x v="0"/>
    <x v="0"/>
    <x v="0"/>
    <n v="1.37"/>
    <x v="0"/>
    <x v="0"/>
  </r>
  <r>
    <s v="tt0266697"/>
    <s v="Kill Bill: Vol. 1"/>
    <n v="2003"/>
    <n v="111"/>
    <s v="Action,Crime,Thriller"/>
    <n v="8.1999999999999993"/>
    <n v="1308169"/>
    <n v="122"/>
    <x v="2"/>
    <x v="2"/>
    <x v="0"/>
    <x v="0"/>
    <n v="1.31"/>
    <x v="0"/>
    <x v="0"/>
  </r>
  <r>
    <s v="tt0266543"/>
    <s v="Finding Nemo"/>
    <n v="2003"/>
    <n v="100"/>
    <s v="Adventure,Animation,Comedy"/>
    <n v="8.1999999999999993"/>
    <n v="1207890"/>
    <n v="123"/>
    <x v="3"/>
    <x v="2"/>
    <x v="0"/>
    <x v="0"/>
    <n v="1.21"/>
    <x v="0"/>
    <x v="0"/>
  </r>
  <r>
    <s v="tt0477348"/>
    <s v="No Country for Old Men"/>
    <n v="2007"/>
    <n v="122"/>
    <s v="Crime,Drama,Thriller"/>
    <n v="8.1999999999999993"/>
    <n v="1190435"/>
    <n v="124"/>
    <x v="1"/>
    <x v="2"/>
    <x v="0"/>
    <x v="0"/>
    <n v="1.19"/>
    <x v="0"/>
    <x v="0"/>
  </r>
  <r>
    <s v="tt0107290"/>
    <s v="Jurassic Park"/>
    <n v="1993"/>
    <n v="127"/>
    <s v="Action,Adventure,Sci-Fi"/>
    <n v="8.1999999999999993"/>
    <n v="1178216"/>
    <n v="125"/>
    <x v="2"/>
    <x v="0"/>
    <x v="0"/>
    <x v="0"/>
    <n v="1.18"/>
    <x v="0"/>
    <x v="0"/>
  </r>
  <r>
    <s v="tt0167404"/>
    <s v="The Sixth Sense"/>
    <n v="1999"/>
    <n v="107"/>
    <s v="Drama,Mystery,Thriller"/>
    <n v="8.1999999999999993"/>
    <n v="1145210"/>
    <n v="126"/>
    <x v="0"/>
    <x v="0"/>
    <x v="0"/>
    <x v="0"/>
    <n v="1.1499999999999999"/>
    <x v="0"/>
    <x v="0"/>
  </r>
  <r>
    <s v="tt0268978"/>
    <s v="A Beautiful Mind"/>
    <n v="2001"/>
    <n v="135"/>
    <s v="Biography,Drama,Mystery"/>
    <n v="8.1999999999999993"/>
    <n v="1053678"/>
    <n v="127"/>
    <x v="4"/>
    <x v="2"/>
    <x v="0"/>
    <x v="0"/>
    <n v="1.05"/>
    <x v="0"/>
    <x v="0"/>
  </r>
  <r>
    <s v="tt15398776"/>
    <s v="Oppenheimer"/>
    <n v="2023"/>
    <n v="180"/>
    <s v="Biography,Drama,History"/>
    <n v="8.1999999999999993"/>
    <n v="1034385"/>
    <n v="128"/>
    <x v="4"/>
    <x v="7"/>
    <x v="1"/>
    <x v="0"/>
    <n v="1.03"/>
    <x v="0"/>
    <x v="0"/>
  </r>
  <r>
    <s v="tt0095016"/>
    <s v="Die Hard"/>
    <n v="1988"/>
    <n v="132"/>
    <s v="Action,Thriller"/>
    <n v="8.1999999999999993"/>
    <n v="1030563"/>
    <n v="129"/>
    <x v="2"/>
    <x v="6"/>
    <x v="0"/>
    <x v="0"/>
    <n v="1.03"/>
    <x v="0"/>
    <x v="0"/>
  </r>
  <r>
    <s v="tt0075314"/>
    <s v="Taxi Driver"/>
    <n v="1976"/>
    <n v="114"/>
    <s v="Crime,Drama"/>
    <n v="8.1999999999999993"/>
    <n v="1026896"/>
    <n v="130"/>
    <x v="1"/>
    <x v="1"/>
    <x v="0"/>
    <x v="1"/>
    <n v="1.03"/>
    <x v="0"/>
    <x v="1"/>
  </r>
  <r>
    <s v="tt0208092"/>
    <s v="Snatch"/>
    <n v="2000"/>
    <n v="102"/>
    <s v="Comedy,Crime"/>
    <n v="8.1999999999999993"/>
    <n v="977367"/>
    <n v="131"/>
    <x v="5"/>
    <x v="2"/>
    <x v="0"/>
    <x v="0"/>
    <n v="0.98"/>
    <x v="0"/>
    <x v="0"/>
  </r>
  <r>
    <s v="tt0066921"/>
    <s v="A Clockwork Orange"/>
    <n v="1971"/>
    <n v="136"/>
    <s v="Crime,Sci-Fi"/>
    <n v="8.1999999999999993"/>
    <n v="937111"/>
    <n v="132"/>
    <x v="1"/>
    <x v="1"/>
    <x v="0"/>
    <x v="1"/>
    <n v="0.94"/>
    <x v="0"/>
    <x v="1"/>
  </r>
  <r>
    <s v="tt1392214"/>
    <s v="Prisoners"/>
    <n v="2013"/>
    <n v="153"/>
    <s v="Crime,Drama,Mystery"/>
    <n v="8.1999999999999993"/>
    <n v="935467"/>
    <n v="133"/>
    <x v="1"/>
    <x v="4"/>
    <x v="1"/>
    <x v="0"/>
    <n v="0.94"/>
    <x v="0"/>
    <x v="0"/>
  </r>
  <r>
    <s v="tt1745960"/>
    <s v="Top Gun: Maverick"/>
    <n v="2022"/>
    <n v="130"/>
    <s v="Action,Drama"/>
    <n v="8.1999999999999993"/>
    <n v="865893"/>
    <n v="134"/>
    <x v="2"/>
    <x v="7"/>
    <x v="0"/>
    <x v="0"/>
    <n v="0.87"/>
    <x v="0"/>
    <x v="0"/>
  </r>
  <r>
    <s v="tt0097576"/>
    <s v="Indiana Jones and the Last Crusade"/>
    <n v="1989"/>
    <n v="127"/>
    <s v="Action,Adventure"/>
    <n v="8.1999999999999993"/>
    <n v="864109"/>
    <n v="135"/>
    <x v="2"/>
    <x v="6"/>
    <x v="0"/>
    <x v="0"/>
    <n v="0.86"/>
    <x v="0"/>
    <x v="0"/>
  </r>
  <r>
    <s v="tt0093058"/>
    <s v="Full Metal Jacket"/>
    <n v="1987"/>
    <n v="116"/>
    <s v="Drama,War"/>
    <n v="8.1999999999999993"/>
    <n v="851432"/>
    <n v="136"/>
    <x v="0"/>
    <x v="6"/>
    <x v="0"/>
    <x v="0"/>
    <n v="0.85"/>
    <x v="0"/>
    <x v="0"/>
  </r>
  <r>
    <s v="tt8579674"/>
    <n v="1917"/>
    <n v="2019"/>
    <n v="119"/>
    <s v="Action,Drama,War"/>
    <n v="8.1999999999999993"/>
    <n v="771608"/>
    <n v="137"/>
    <x v="2"/>
    <x v="4"/>
    <x v="0"/>
    <x v="0"/>
    <n v="0.77"/>
    <x v="0"/>
    <x v="0"/>
  </r>
  <r>
    <s v="tt0457430"/>
    <s v="Pan's Labyrinth"/>
    <n v="2006"/>
    <n v="118"/>
    <s v="Drama,Fantasy,War"/>
    <n v="8.1999999999999993"/>
    <n v="746952"/>
    <n v="138"/>
    <x v="0"/>
    <x v="2"/>
    <x v="0"/>
    <x v="0"/>
    <n v="0.75"/>
    <x v="0"/>
    <x v="0"/>
  </r>
  <r>
    <s v="tt0469494"/>
    <s v="There Will Be Blood"/>
    <n v="2007"/>
    <n v="158"/>
    <s v="Drama"/>
    <n v="8.1999999999999993"/>
    <n v="708783"/>
    <n v="139"/>
    <x v="0"/>
    <x v="2"/>
    <x v="1"/>
    <x v="0"/>
    <n v="0.71"/>
    <x v="0"/>
    <x v="0"/>
  </r>
  <r>
    <s v="tt6966692"/>
    <s v="Green Book"/>
    <n v="2018"/>
    <n v="130"/>
    <s v="Biography,Comedy,Drama"/>
    <n v="8.1999999999999993"/>
    <n v="686284"/>
    <n v="140"/>
    <x v="4"/>
    <x v="4"/>
    <x v="0"/>
    <x v="0"/>
    <n v="0.69"/>
    <x v="0"/>
    <x v="0"/>
  </r>
  <r>
    <s v="tt0119488"/>
    <s v="L.A. Confidential"/>
    <n v="1997"/>
    <n v="138"/>
    <s v="Crime,Drama,Mystery"/>
    <n v="8.1999999999999993"/>
    <n v="659531"/>
    <n v="141"/>
    <x v="1"/>
    <x v="0"/>
    <x v="0"/>
    <x v="0"/>
    <n v="0.66"/>
    <x v="0"/>
    <x v="0"/>
  </r>
  <r>
    <s v="tt0112641"/>
    <s v="Casino"/>
    <n v="1995"/>
    <n v="178"/>
    <s v="Crime,Drama"/>
    <n v="8.1999999999999993"/>
    <n v="619776"/>
    <n v="142"/>
    <x v="1"/>
    <x v="0"/>
    <x v="1"/>
    <x v="0"/>
    <n v="0.62"/>
    <x v="0"/>
    <x v="0"/>
  </r>
  <r>
    <s v="tt0084787"/>
    <s v="The Thing"/>
    <n v="1982"/>
    <n v="109"/>
    <s v="Horror,Mystery,Sci-Fi"/>
    <n v="8.1999999999999993"/>
    <n v="526938"/>
    <n v="143"/>
    <x v="6"/>
    <x v="6"/>
    <x v="0"/>
    <x v="0"/>
    <n v="0.53"/>
    <x v="0"/>
    <x v="0"/>
  </r>
  <r>
    <s v="tt0347149"/>
    <s v="Howl's Moving Castle"/>
    <n v="2004"/>
    <n v="119"/>
    <s v="Adventure,Animation,Family"/>
    <n v="8.1999999999999993"/>
    <n v="512407"/>
    <n v="144"/>
    <x v="3"/>
    <x v="2"/>
    <x v="0"/>
    <x v="0"/>
    <n v="0.51"/>
    <x v="0"/>
    <x v="0"/>
  </r>
  <r>
    <s v="tt0033467"/>
    <s v="Citizen Kane"/>
    <n v="1941"/>
    <n v="119"/>
    <s v="Drama,Mystery"/>
    <n v="8.1999999999999993"/>
    <n v="493926"/>
    <n v="145"/>
    <x v="0"/>
    <x v="8"/>
    <x v="0"/>
    <x v="1"/>
    <n v="0.49"/>
    <x v="1"/>
    <x v="1"/>
  </r>
  <r>
    <s v="tt0105695"/>
    <s v="Unforgiven"/>
    <n v="1992"/>
    <n v="130"/>
    <s v="Drama,Western"/>
    <n v="8.1999999999999993"/>
    <n v="469152"/>
    <n v="146"/>
    <x v="0"/>
    <x v="0"/>
    <x v="0"/>
    <x v="0"/>
    <n v="0.47"/>
    <x v="1"/>
    <x v="0"/>
  </r>
  <r>
    <s v="tt0052357"/>
    <s v="Vertigo"/>
    <n v="1958"/>
    <n v="128"/>
    <s v="Mystery,Romance,Thriller"/>
    <n v="8.1999999999999993"/>
    <n v="459515"/>
    <n v="147"/>
    <x v="8"/>
    <x v="3"/>
    <x v="0"/>
    <x v="1"/>
    <n v="0.46"/>
    <x v="1"/>
    <x v="1"/>
  </r>
  <r>
    <s v="tt0363163"/>
    <s v="Downfall"/>
    <n v="2004"/>
    <n v="156"/>
    <s v="Biography,Drama,History"/>
    <n v="8.1999999999999993"/>
    <n v="400591"/>
    <n v="148"/>
    <x v="4"/>
    <x v="2"/>
    <x v="1"/>
    <x v="0"/>
    <n v="0.4"/>
    <x v="1"/>
    <x v="0"/>
  </r>
  <r>
    <s v="tt0031381"/>
    <s v="Gone with the Wind"/>
    <n v="1939"/>
    <n v="238"/>
    <s v="Drama,Romance,War"/>
    <n v="8.1999999999999993"/>
    <n v="356822"/>
    <n v="149"/>
    <x v="0"/>
    <x v="9"/>
    <x v="1"/>
    <x v="1"/>
    <n v="0.36"/>
    <x v="1"/>
    <x v="1"/>
  </r>
  <r>
    <s v="tt0056592"/>
    <s v="To Kill a Mockingbird"/>
    <n v="1962"/>
    <n v="129"/>
    <s v="Crime,Drama"/>
    <n v="8.1999999999999993"/>
    <n v="351834"/>
    <n v="150"/>
    <x v="1"/>
    <x v="5"/>
    <x v="0"/>
    <x v="1"/>
    <n v="0.35"/>
    <x v="1"/>
    <x v="1"/>
  </r>
  <r>
    <s v="tt0053291"/>
    <s v="Some Like It Hot"/>
    <n v="1959"/>
    <n v="121"/>
    <s v="Comedy,Music,Romance"/>
    <n v="8.1999999999999993"/>
    <n v="305083"/>
    <n v="151"/>
    <x v="5"/>
    <x v="3"/>
    <x v="0"/>
    <x v="1"/>
    <n v="0.31"/>
    <x v="1"/>
    <x v="1"/>
  </r>
  <r>
    <s v="tt0070735"/>
    <s v="The Sting"/>
    <n v="1973"/>
    <n v="129"/>
    <s v="Comedy,Crime,Drama"/>
    <n v="8.1999999999999993"/>
    <n v="301663"/>
    <n v="152"/>
    <x v="5"/>
    <x v="1"/>
    <x v="0"/>
    <x v="1"/>
    <n v="0.3"/>
    <x v="1"/>
    <x v="1"/>
  </r>
  <r>
    <s v="tt0059578"/>
    <s v="For a Few Dollars More"/>
    <n v="1965"/>
    <n v="132"/>
    <s v="Drama,Western"/>
    <n v="8.1999999999999993"/>
    <n v="300343"/>
    <n v="153"/>
    <x v="0"/>
    <x v="5"/>
    <x v="0"/>
    <x v="1"/>
    <n v="0.3"/>
    <x v="1"/>
    <x v="1"/>
  </r>
  <r>
    <s v="tt0080678"/>
    <s v="The Elephant Man"/>
    <n v="1980"/>
    <n v="124"/>
    <s v="Biography,Drama"/>
    <n v="8.1999999999999993"/>
    <n v="282613"/>
    <n v="154"/>
    <x v="4"/>
    <x v="6"/>
    <x v="0"/>
    <x v="0"/>
    <n v="0.28000000000000003"/>
    <x v="1"/>
    <x v="0"/>
  </r>
  <r>
    <s v="tt0057115"/>
    <s v="The Great Escape"/>
    <n v="1963"/>
    <n v="172"/>
    <s v="Adventure,Drama,Thriller"/>
    <n v="8.1999999999999993"/>
    <n v="277858"/>
    <n v="155"/>
    <x v="3"/>
    <x v="5"/>
    <x v="1"/>
    <x v="1"/>
    <n v="0.28000000000000003"/>
    <x v="1"/>
    <x v="1"/>
  </r>
  <r>
    <s v="tt10272386"/>
    <s v="The Father"/>
    <n v="2020"/>
    <n v="97"/>
    <s v="Drama,Mystery"/>
    <n v="8.1999999999999993"/>
    <n v="245274"/>
    <n v="156"/>
    <x v="0"/>
    <x v="7"/>
    <x v="2"/>
    <x v="0"/>
    <n v="0.25"/>
    <x v="1"/>
    <x v="0"/>
  </r>
  <r>
    <s v="tt1305806"/>
    <s v="The Secret in Their Eyes"/>
    <n v="2009"/>
    <n v="129"/>
    <s v="Drama,Mystery,Romance"/>
    <n v="8.1999999999999993"/>
    <n v="242372"/>
    <n v="157"/>
    <x v="0"/>
    <x v="2"/>
    <x v="0"/>
    <x v="0"/>
    <n v="0.24"/>
    <x v="1"/>
    <x v="0"/>
  </r>
  <r>
    <s v="tt4729430"/>
    <s v="Klaus"/>
    <n v="2019"/>
    <n v="96"/>
    <s v="Adventure,Animation,Comedy"/>
    <n v="8.1999999999999993"/>
    <n v="236923"/>
    <n v="158"/>
    <x v="3"/>
    <x v="4"/>
    <x v="2"/>
    <x v="0"/>
    <n v="0.24"/>
    <x v="1"/>
    <x v="0"/>
  </r>
  <r>
    <s v="tt29623480"/>
    <s v="The Wild Robot"/>
    <n v="2024"/>
    <n v="102"/>
    <s v="Adventure,Animation,Family"/>
    <n v="8.1999999999999993"/>
    <n v="224161"/>
    <n v="159"/>
    <x v="3"/>
    <x v="7"/>
    <x v="0"/>
    <x v="0"/>
    <n v="0.22"/>
    <x v="1"/>
    <x v="0"/>
  </r>
  <r>
    <s v="tt0017136"/>
    <s v="Metropolis"/>
    <n v="1927"/>
    <n v="153"/>
    <s v="Drama,Sci-Fi"/>
    <n v="8.1999999999999993"/>
    <n v="201356"/>
    <n v="160"/>
    <x v="0"/>
    <x v="10"/>
    <x v="1"/>
    <x v="1"/>
    <n v="0.2"/>
    <x v="1"/>
    <x v="1"/>
  </r>
  <r>
    <s v="tt0040522"/>
    <s v="Bicycle Thieves"/>
    <n v="1948"/>
    <n v="89"/>
    <s v="Drama"/>
    <n v="8.1999999999999993"/>
    <n v="192765"/>
    <n v="161"/>
    <x v="0"/>
    <x v="8"/>
    <x v="2"/>
    <x v="1"/>
    <n v="0.19"/>
    <x v="1"/>
    <x v="1"/>
  </r>
  <r>
    <s v="tt10698680"/>
    <s v="K.G.F: Chapter 2"/>
    <n v="2022"/>
    <n v="166"/>
    <s v="Action,Crime,Drama"/>
    <n v="8.1999999999999993"/>
    <n v="169670"/>
    <n v="162"/>
    <x v="2"/>
    <x v="7"/>
    <x v="1"/>
    <x v="0"/>
    <n v="0.17"/>
    <x v="1"/>
    <x v="0"/>
  </r>
  <r>
    <s v="tt0089881"/>
    <s v="Ran"/>
    <n v="1985"/>
    <n v="160"/>
    <s v="Action,Drama,War"/>
    <n v="8.1999999999999993"/>
    <n v="152151"/>
    <n v="163"/>
    <x v="2"/>
    <x v="6"/>
    <x v="1"/>
    <x v="0"/>
    <n v="0.15"/>
    <x v="1"/>
    <x v="0"/>
  </r>
  <r>
    <s v="tt0042192"/>
    <s v="All About Eve"/>
    <n v="1950"/>
    <n v="138"/>
    <s v="Drama"/>
    <n v="8.1999999999999993"/>
    <n v="149368"/>
    <n v="164"/>
    <x v="0"/>
    <x v="3"/>
    <x v="0"/>
    <x v="1"/>
    <n v="0.15"/>
    <x v="1"/>
    <x v="1"/>
  </r>
  <r>
    <s v="tt0012349"/>
    <s v="The Kid"/>
    <n v="1921"/>
    <n v="68"/>
    <s v="Comedy,Drama,Family"/>
    <n v="8.1999999999999993"/>
    <n v="145736"/>
    <n v="165"/>
    <x v="5"/>
    <x v="10"/>
    <x v="2"/>
    <x v="1"/>
    <n v="0.15"/>
    <x v="1"/>
    <x v="1"/>
  </r>
  <r>
    <s v="tt0055630"/>
    <s v="Yojimbo"/>
    <n v="1961"/>
    <n v="110"/>
    <s v="Action,Drama,Thriller"/>
    <n v="8.1999999999999993"/>
    <n v="143151"/>
    <n v="166"/>
    <x v="2"/>
    <x v="5"/>
    <x v="0"/>
    <x v="1"/>
    <n v="0.14000000000000001"/>
    <x v="1"/>
    <x v="1"/>
  </r>
  <r>
    <s v="tt5323662"/>
    <s v="A Silent Voice: The Movie"/>
    <n v="2016"/>
    <n v="130"/>
    <s v="Animation,Drama"/>
    <n v="8.1999999999999993"/>
    <n v="142034"/>
    <n v="167"/>
    <x v="7"/>
    <x v="4"/>
    <x v="0"/>
    <x v="0"/>
    <n v="0.14000000000000001"/>
    <x v="1"/>
    <x v="0"/>
  </r>
  <r>
    <s v="tt0040897"/>
    <s v="The Treasure of the Sierra Madre"/>
    <n v="1948"/>
    <n v="126"/>
    <s v="Adventure,Drama,Western"/>
    <n v="8.1999999999999993"/>
    <n v="141529"/>
    <n v="168"/>
    <x v="3"/>
    <x v="8"/>
    <x v="0"/>
    <x v="1"/>
    <n v="0.14000000000000001"/>
    <x v="1"/>
    <x v="1"/>
  </r>
  <r>
    <s v="tt4849438"/>
    <s v="Baahubali 2: The Conclusion"/>
    <n v="2017"/>
    <n v="167"/>
    <s v="Action,Drama"/>
    <n v="8.1999999999999993"/>
    <n v="134129"/>
    <n v="169"/>
    <x v="2"/>
    <x v="4"/>
    <x v="1"/>
    <x v="0"/>
    <n v="0.13"/>
    <x v="1"/>
    <x v="0"/>
  </r>
  <r>
    <s v="tt8108198"/>
    <s v="Andhadhun"/>
    <n v="2018"/>
    <n v="139"/>
    <s v="Comedy,Crime,Mystery"/>
    <n v="8.1999999999999993"/>
    <n v="116277"/>
    <n v="170"/>
    <x v="5"/>
    <x v="4"/>
    <x v="0"/>
    <x v="0"/>
    <n v="0.12"/>
    <x v="1"/>
    <x v="0"/>
  </r>
  <r>
    <s v="tt1954470"/>
    <s v="Gangs of Wasseypur"/>
    <n v="2012"/>
    <n v="321"/>
    <s v="Action,Comedy,Crime"/>
    <n v="8.1999999999999993"/>
    <n v="114291"/>
    <n v="171"/>
    <x v="2"/>
    <x v="4"/>
    <x v="1"/>
    <x v="0"/>
    <n v="0.11"/>
    <x v="1"/>
    <x v="0"/>
  </r>
  <r>
    <s v="tt4430212"/>
    <s v="Drishyam"/>
    <n v="2015"/>
    <n v="163"/>
    <s v="Crime,Drama,Mystery"/>
    <n v="8.1999999999999993"/>
    <n v="109016"/>
    <n v="172"/>
    <x v="1"/>
    <x v="4"/>
    <x v="1"/>
    <x v="0"/>
    <n v="0.11"/>
    <x v="1"/>
    <x v="0"/>
  </r>
  <r>
    <s v="tt0367110"/>
    <s v="Swades"/>
    <n v="2004"/>
    <n v="189"/>
    <s v="Drama,Musical"/>
    <n v="8.1999999999999993"/>
    <n v="106126"/>
    <n v="173"/>
    <x v="0"/>
    <x v="2"/>
    <x v="1"/>
    <x v="0"/>
    <n v="0.11"/>
    <x v="1"/>
    <x v="0"/>
  </r>
  <r>
    <s v="tt0476735"/>
    <s v="My Father and My Son"/>
    <n v="2005"/>
    <n v="112"/>
    <s v="Drama"/>
    <n v="8.1999999999999993"/>
    <n v="100894"/>
    <n v="174"/>
    <x v="0"/>
    <x v="2"/>
    <x v="0"/>
    <x v="0"/>
    <n v="0.1"/>
    <x v="1"/>
    <x v="0"/>
  </r>
  <r>
    <s v="tt11032374"/>
    <s v="Demon Slayer: Kimetsu no Yaiba - The Movie: Mugen Train"/>
    <n v="2020"/>
    <n v="117"/>
    <s v="Action,Adventure,Animation"/>
    <n v="8.1999999999999993"/>
    <n v="100755"/>
    <n v="175"/>
    <x v="2"/>
    <x v="7"/>
    <x v="0"/>
    <x v="0"/>
    <n v="0.1"/>
    <x v="1"/>
    <x v="0"/>
  </r>
  <r>
    <m/>
    <m/>
    <m/>
    <m/>
    <m/>
    <m/>
    <m/>
    <m/>
    <x v="9"/>
    <x v="11"/>
    <x v="3"/>
    <x v="2"/>
    <m/>
    <x v="2"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7" cacheId="13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5">
  <location ref="A3:B6" firstHeaderRow="1" firstDataRow="1" firstDataCol="1"/>
  <pivotFields count="15"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1"/>
        <item x="0"/>
        <item h="1" x="2"/>
        <item t="default"/>
      </items>
    </pivotField>
    <pivotField showAll="0"/>
  </pivotFields>
  <rowFields count="1">
    <field x="13"/>
  </rowFields>
  <rowItems count="3">
    <i>
      <x/>
    </i>
    <i>
      <x v="1"/>
    </i>
    <i t="grand">
      <x/>
    </i>
  </rowItems>
  <colItems count="1">
    <i/>
  </colItems>
  <dataFields count="1">
    <dataField name="Count of title" fld="1" subtotal="count" baseField="0" baseItem="0"/>
  </dataFields>
  <chartFormats count="3">
    <chartFormat chart="4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4" format="3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name="PivotTable5" cacheId="13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3" rowHeaderCaption="Movie Type">
  <location ref="A3:B6" firstHeaderRow="1" firstDataRow="1" firstDataCol="1"/>
  <pivotFields count="15"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4">
        <item x="0"/>
        <item x="1"/>
        <item h="1" x="2"/>
        <item t="default"/>
      </items>
    </pivotField>
    <pivotField showAll="0"/>
    <pivotField showAll="0"/>
    <pivotField axis="axisRow" showAll="0">
      <items count="4">
        <item x="1"/>
        <item x="0"/>
        <item h="1" x="2"/>
        <item t="default"/>
      </items>
    </pivotField>
  </pivotFields>
  <rowFields count="1">
    <field x="14"/>
  </rowFields>
  <rowItems count="3">
    <i>
      <x/>
    </i>
    <i>
      <x v="1"/>
    </i>
    <i t="grand">
      <x/>
    </i>
  </rowItems>
  <colItems count="1">
    <i/>
  </colItems>
  <dataFields count="1">
    <dataField name="Count" fld="1" subtotal="count" baseField="11" baseItem="0"/>
  </dataFields>
  <chartFormats count="4">
    <chartFormat chart="2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4">
      <pivotArea type="data" outline="0" fieldPosition="0">
        <references count="2">
          <reference field="4294967294" count="1" selected="0">
            <x v="0"/>
          </reference>
          <reference field="14" count="1" selected="0">
            <x v="0"/>
          </reference>
        </references>
      </pivotArea>
    </chartFormat>
    <chartFormat chart="2" format="5">
      <pivotArea type="data" outline="0" fieldPosition="0">
        <references count="2">
          <reference field="4294967294" count="1" selected="0">
            <x v="0"/>
          </reference>
          <reference field="14" count="1" selected="0">
            <x v="1"/>
          </reference>
        </references>
      </pivotArea>
    </chartFormat>
    <chartFormat chart="2" format="6">
      <pivotArea type="data" outline="0" fieldPosition="0">
        <references count="2">
          <reference field="4294967294" count="1" selected="0">
            <x v="0"/>
          </reference>
          <reference field="1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name="PivotTable4" cacheId="13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5" rowHeaderCaption="Movie Genre">
  <location ref="A3:B13" firstHeaderRow="1" firstDataRow="1" firstDataCol="1"/>
  <pivotFields count="15">
    <pivotField showAll="0"/>
    <pivotField showAll="0"/>
    <pivotField showAll="0"/>
    <pivotField showAll="0"/>
    <pivotField showAll="0"/>
    <pivotField showAll="0"/>
    <pivotField dataField="1" showAll="0"/>
    <pivotField showAll="0"/>
    <pivotField axis="axisRow" showAll="0" sortType="descending">
      <items count="11">
        <item h="1" x="9"/>
        <item x="8"/>
        <item x="6"/>
        <item x="0"/>
        <item x="1"/>
        <item x="5"/>
        <item x="4"/>
        <item x="7"/>
        <item x="3"/>
        <item x="2"/>
        <item t="default"/>
      </items>
    </pivotField>
    <pivotField showAll="0"/>
    <pivotField showAll="0"/>
    <pivotField showAll="0"/>
    <pivotField showAll="0"/>
    <pivotField showAll="0"/>
    <pivotField showAll="0"/>
  </pivotFields>
  <rowFields count="1">
    <field x="8"/>
  </rowFields>
  <rowItems count="10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Average of votes" fld="6" subtotal="average" baseField="8" baseItem="0" numFmtId="2"/>
  </dataFields>
  <formats count="2">
    <format dxfId="2">
      <pivotArea outline="0" collapsedLevelsAreSubtotals="1" fieldPosition="0"/>
    </format>
    <format dxfId="1">
      <pivotArea collapsedLevelsAreSubtotals="1" fieldPosition="0">
        <references count="1">
          <reference field="8" count="0"/>
        </references>
      </pivotArea>
    </format>
  </formats>
  <chartFormats count="2">
    <chartFormat chart="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name="PivotTable3" cacheId="13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rowHeaderCaption="Movie length">
  <location ref="A3:B8" firstHeaderRow="1" firstDataRow="1" firstDataCol="1"/>
  <pivotFields count="15"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axis="axisRow" showAll="0">
      <items count="5">
        <item x="1"/>
        <item x="0"/>
        <item x="2"/>
        <item x="3"/>
        <item t="default"/>
      </items>
    </pivotField>
    <pivotField showAll="0"/>
    <pivotField showAll="0"/>
    <pivotField showAll="0"/>
    <pivotField showAll="0"/>
  </pivotFields>
  <rowFields count="1">
    <field x="1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Average of rating" fld="5" subtotal="average" baseField="10" baseItem="0" numFmtId="2"/>
  </dataFields>
  <formats count="1">
    <format dxfId="3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name="PivotTable1" cacheId="13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3" rowHeaderCaption="Genre">
  <location ref="A3:B13" firstHeaderRow="1" firstDataRow="1" firstDataCol="1"/>
  <pivotFields count="15">
    <pivotField showAll="0"/>
    <pivotField showAll="0"/>
    <pivotField showAll="0"/>
    <pivotField showAll="0"/>
    <pivotField showAll="0"/>
    <pivotField dataField="1" showAll="0"/>
    <pivotField showAll="0"/>
    <pivotField showAll="0"/>
    <pivotField axis="axisRow" showAll="0">
      <items count="11">
        <item x="2"/>
        <item x="3"/>
        <item x="7"/>
        <item x="4"/>
        <item x="5"/>
        <item x="1"/>
        <item x="0"/>
        <item x="6"/>
        <item x="8"/>
        <item h="1" x="9"/>
        <item t="default"/>
      </items>
    </pivotField>
    <pivotField showAll="0"/>
    <pivotField showAll="0"/>
    <pivotField showAll="0"/>
    <pivotField showAll="0"/>
    <pivotField showAll="0"/>
    <pivotField showAll="0"/>
  </pivotFields>
  <rowFields count="1">
    <field x="8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dataFields count="1">
    <dataField name="Average of rating" fld="5" subtotal="average" baseField="8" baseItem="0" numFmtId="2"/>
  </dataFields>
  <formats count="1">
    <format dxfId="4">
      <pivotArea outline="0" collapsedLevelsAreSubtotals="1" fieldPosition="0"/>
    </format>
  </formats>
  <chartFormats count="1">
    <chartFormat chart="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name="PivotTable2" cacheId="13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rowHeaderCaption="Year">
  <location ref="A3:B16" firstHeaderRow="1" firstDataRow="1" firstDataCol="1"/>
  <pivotFields count="15"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3">
        <item x="10"/>
        <item x="9"/>
        <item x="8"/>
        <item x="3"/>
        <item x="5"/>
        <item x="1"/>
        <item x="6"/>
        <item x="0"/>
        <item x="2"/>
        <item x="4"/>
        <item x="7"/>
        <item x="11"/>
        <item t="default"/>
      </items>
    </pivotField>
    <pivotField showAll="0"/>
    <pivotField showAll="0"/>
    <pivotField showAll="0"/>
    <pivotField showAll="0"/>
    <pivotField showAll="0"/>
  </pivotFields>
  <rowFields count="1">
    <field x="9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Number of movies" fld="1" subtotal="count" baseField="9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id="1" name="Table1" displayName="Table1" ref="A1:N176" totalsRowShown="0">
  <autoFilter ref="A1:N176"/>
  <sortState xmlns:xlrd2="http://schemas.microsoft.com/office/spreadsheetml/2017/richdata2" ref="A2:N176">
    <sortCondition descending="1" ref="F1:F176"/>
  </sortState>
  <tableColumns count="14">
    <tableColumn id="1" name="tconst"/>
    <tableColumn id="2" name="title"/>
    <tableColumn id="3" name="year"/>
    <tableColumn id="4" name="runtime_min"/>
    <tableColumn id="5" name="genres"/>
    <tableColumn id="6" name="rating"/>
    <tableColumn id="7" name="votes"/>
    <tableColumn id="8" name="rank"/>
    <tableColumn id="9" name="primary_genre"/>
    <tableColumn id="10" name="decade"/>
    <tableColumn id="11" name="runtime_category"/>
    <tableColumn id="13" name="votes_millions"/>
    <tableColumn id="14" name="blockbuster" dataDxfId="0">
      <calculatedColumnFormula>IF(Table1[[#This Row],[votes]]&gt;500000,"Yes","No")</calculatedColumnFormula>
    </tableColumn>
    <tableColumn id="15" name="is_classic2" dataDxfId="5">
      <calculatedColumnFormula>IF(Table1[[#This Row],[year]]&lt;1980, "Classic", "Modern")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1:S1"/>
  <sheetViews>
    <sheetView tabSelected="1" zoomScale="87" zoomScaleNormal="87" workbookViewId="0">
      <selection activeCell="C17" sqref="C17"/>
    </sheetView>
  </sheetViews>
  <sheetFormatPr defaultRowHeight="14.5" x14ac:dyDescent="0.35"/>
  <cols>
    <col min="1" max="16384" width="8.7265625" style="8"/>
  </cols>
  <sheetData>
    <row r="1" spans="3:19" ht="18.5" x14ac:dyDescent="0.45">
      <c r="C1" s="10" t="s">
        <v>496</v>
      </c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</row>
  </sheetData>
  <mergeCells count="1">
    <mergeCell ref="C1:S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76"/>
  <sheetViews>
    <sheetView topLeftCell="K1" workbookViewId="0">
      <selection activeCell="P6" sqref="P6"/>
    </sheetView>
  </sheetViews>
  <sheetFormatPr defaultRowHeight="14.5" x14ac:dyDescent="0.35"/>
  <cols>
    <col min="1" max="1" width="10.08984375" bestFit="1" customWidth="1"/>
    <col min="2" max="2" width="60.90625" bestFit="1" customWidth="1"/>
    <col min="4" max="4" width="13.7265625" customWidth="1"/>
    <col min="5" max="5" width="26.26953125" bestFit="1" customWidth="1"/>
    <col min="6" max="6" width="8" bestFit="1" customWidth="1"/>
    <col min="8" max="8" width="6.90625" bestFit="1" customWidth="1"/>
    <col min="9" max="9" width="15.453125" bestFit="1" customWidth="1"/>
    <col min="10" max="10" width="8.81640625" customWidth="1"/>
    <col min="11" max="11" width="17.7265625" customWidth="1"/>
    <col min="12" max="12" width="10.26953125" customWidth="1"/>
    <col min="13" max="13" width="14.81640625" customWidth="1"/>
    <col min="14" max="14" width="13" bestFit="1" customWidth="1"/>
  </cols>
  <sheetData>
    <row r="1" spans="1:14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473</v>
      </c>
      <c r="N1" t="s">
        <v>477</v>
      </c>
    </row>
    <row r="2" spans="1:14" x14ac:dyDescent="0.35">
      <c r="A2" t="s">
        <v>12</v>
      </c>
      <c r="B2" t="s">
        <v>13</v>
      </c>
      <c r="C2">
        <v>1994</v>
      </c>
      <c r="D2">
        <v>142</v>
      </c>
      <c r="E2" t="s">
        <v>14</v>
      </c>
      <c r="F2">
        <v>9.3000000000000007</v>
      </c>
      <c r="G2">
        <v>3189547</v>
      </c>
      <c r="H2">
        <v>1</v>
      </c>
      <c r="I2" t="s">
        <v>14</v>
      </c>
      <c r="J2" t="s">
        <v>15</v>
      </c>
      <c r="K2" t="s">
        <v>16</v>
      </c>
      <c r="L2">
        <v>3.19</v>
      </c>
      <c r="M2" t="str">
        <f>IF(Table1[[#This Row],[votes]]&gt;500000,"Yes","No")</f>
        <v>Yes</v>
      </c>
      <c r="N2" t="str">
        <f>IF(Table1[[#This Row],[year]]&lt;1980, "Classic", "Modern")</f>
        <v>Modern</v>
      </c>
    </row>
    <row r="3" spans="1:14" x14ac:dyDescent="0.35">
      <c r="A3" t="s">
        <v>17</v>
      </c>
      <c r="B3" t="s">
        <v>18</v>
      </c>
      <c r="C3">
        <v>1972</v>
      </c>
      <c r="D3">
        <v>175</v>
      </c>
      <c r="E3" t="s">
        <v>19</v>
      </c>
      <c r="F3">
        <v>9.1999999999999993</v>
      </c>
      <c r="G3">
        <v>2226753</v>
      </c>
      <c r="H3">
        <v>2</v>
      </c>
      <c r="I3" t="s">
        <v>20</v>
      </c>
      <c r="J3" t="s">
        <v>21</v>
      </c>
      <c r="K3" t="s">
        <v>22</v>
      </c>
      <c r="L3">
        <v>2.23</v>
      </c>
      <c r="M3" t="str">
        <f>IF(Table1[[#This Row],[votes]]&gt;500000,"Yes","No")</f>
        <v>Yes</v>
      </c>
      <c r="N3" t="str">
        <f>IF(Table1[[#This Row],[year]]&lt;1980, "Classic", "Modern")</f>
        <v>Classic</v>
      </c>
    </row>
    <row r="4" spans="1:14" x14ac:dyDescent="0.35">
      <c r="A4" t="s">
        <v>23</v>
      </c>
      <c r="B4" t="s">
        <v>24</v>
      </c>
      <c r="C4">
        <v>2008</v>
      </c>
      <c r="D4">
        <v>152</v>
      </c>
      <c r="E4" t="s">
        <v>25</v>
      </c>
      <c r="F4">
        <v>9.1</v>
      </c>
      <c r="G4">
        <v>3168745</v>
      </c>
      <c r="H4">
        <v>3</v>
      </c>
      <c r="I4" t="s">
        <v>26</v>
      </c>
      <c r="J4" t="s">
        <v>27</v>
      </c>
      <c r="K4" t="s">
        <v>22</v>
      </c>
      <c r="L4">
        <v>3.17</v>
      </c>
      <c r="M4" t="str">
        <f>IF(Table1[[#This Row],[votes]]&gt;500000,"Yes","No")</f>
        <v>Yes</v>
      </c>
      <c r="N4" t="str">
        <f>IF(Table1[[#This Row],[year]]&lt;1980, "Classic", "Modern")</f>
        <v>Modern</v>
      </c>
    </row>
    <row r="5" spans="1:14" x14ac:dyDescent="0.35">
      <c r="A5" t="s">
        <v>28</v>
      </c>
      <c r="B5" t="s">
        <v>29</v>
      </c>
      <c r="C5">
        <v>2003</v>
      </c>
      <c r="D5">
        <v>201</v>
      </c>
      <c r="E5" t="s">
        <v>30</v>
      </c>
      <c r="F5">
        <v>9</v>
      </c>
      <c r="G5">
        <v>2165290</v>
      </c>
      <c r="H5">
        <v>4</v>
      </c>
      <c r="I5" t="s">
        <v>31</v>
      </c>
      <c r="J5" t="s">
        <v>27</v>
      </c>
      <c r="K5" t="s">
        <v>22</v>
      </c>
      <c r="L5">
        <v>2.17</v>
      </c>
      <c r="M5" t="str">
        <f>IF(Table1[[#This Row],[votes]]&gt;500000,"Yes","No")</f>
        <v>Yes</v>
      </c>
      <c r="N5" t="str">
        <f>IF(Table1[[#This Row],[year]]&lt;1980, "Classic", "Modern")</f>
        <v>Modern</v>
      </c>
    </row>
    <row r="6" spans="1:14" x14ac:dyDescent="0.35">
      <c r="A6" t="s">
        <v>32</v>
      </c>
      <c r="B6" t="s">
        <v>33</v>
      </c>
      <c r="C6">
        <v>1993</v>
      </c>
      <c r="D6">
        <v>195</v>
      </c>
      <c r="E6" t="s">
        <v>34</v>
      </c>
      <c r="F6">
        <v>9</v>
      </c>
      <c r="G6">
        <v>1586066</v>
      </c>
      <c r="H6">
        <v>5</v>
      </c>
      <c r="I6" t="s">
        <v>35</v>
      </c>
      <c r="J6" t="s">
        <v>15</v>
      </c>
      <c r="K6" t="s">
        <v>22</v>
      </c>
      <c r="L6">
        <v>1.59</v>
      </c>
      <c r="M6" t="str">
        <f>IF(Table1[[#This Row],[votes]]&gt;500000,"Yes","No")</f>
        <v>Yes</v>
      </c>
      <c r="N6" t="str">
        <f>IF(Table1[[#This Row],[year]]&lt;1980, "Classic", "Modern")</f>
        <v>Modern</v>
      </c>
    </row>
    <row r="7" spans="1:14" x14ac:dyDescent="0.35">
      <c r="A7" t="s">
        <v>36</v>
      </c>
      <c r="B7" t="s">
        <v>37</v>
      </c>
      <c r="C7">
        <v>1974</v>
      </c>
      <c r="D7">
        <v>202</v>
      </c>
      <c r="E7" t="s">
        <v>19</v>
      </c>
      <c r="F7">
        <v>9</v>
      </c>
      <c r="G7">
        <v>1495806</v>
      </c>
      <c r="H7">
        <v>6</v>
      </c>
      <c r="I7" t="s">
        <v>20</v>
      </c>
      <c r="J7" t="s">
        <v>21</v>
      </c>
      <c r="K7" t="s">
        <v>22</v>
      </c>
      <c r="L7">
        <v>1.5</v>
      </c>
      <c r="M7" t="str">
        <f>IF(Table1[[#This Row],[votes]]&gt;500000,"Yes","No")</f>
        <v>Yes</v>
      </c>
      <c r="N7" t="str">
        <f>IF(Table1[[#This Row],[year]]&lt;1980, "Classic", "Modern")</f>
        <v>Classic</v>
      </c>
    </row>
    <row r="8" spans="1:14" x14ac:dyDescent="0.35">
      <c r="A8" t="s">
        <v>38</v>
      </c>
      <c r="B8" t="s">
        <v>39</v>
      </c>
      <c r="C8">
        <v>1957</v>
      </c>
      <c r="D8">
        <v>96</v>
      </c>
      <c r="E8" t="s">
        <v>19</v>
      </c>
      <c r="F8">
        <v>9</v>
      </c>
      <c r="G8">
        <v>984634</v>
      </c>
      <c r="H8">
        <v>7</v>
      </c>
      <c r="I8" t="s">
        <v>20</v>
      </c>
      <c r="J8" t="s">
        <v>40</v>
      </c>
      <c r="K8" t="s">
        <v>41</v>
      </c>
      <c r="L8">
        <v>0.98</v>
      </c>
      <c r="M8" t="str">
        <f>IF(Table1[[#This Row],[votes]]&gt;500000,"Yes","No")</f>
        <v>Yes</v>
      </c>
      <c r="N8" t="str">
        <f>IF(Table1[[#This Row],[year]]&lt;1980, "Classic", "Modern")</f>
        <v>Classic</v>
      </c>
    </row>
    <row r="9" spans="1:14" x14ac:dyDescent="0.35">
      <c r="A9" t="s">
        <v>42</v>
      </c>
      <c r="B9" t="s">
        <v>43</v>
      </c>
      <c r="C9">
        <v>2001</v>
      </c>
      <c r="D9">
        <v>178</v>
      </c>
      <c r="E9" t="s">
        <v>30</v>
      </c>
      <c r="F9">
        <v>8.9</v>
      </c>
      <c r="G9">
        <v>2207283</v>
      </c>
      <c r="H9">
        <v>8</v>
      </c>
      <c r="I9" t="s">
        <v>31</v>
      </c>
      <c r="J9" t="s">
        <v>27</v>
      </c>
      <c r="K9" t="s">
        <v>22</v>
      </c>
      <c r="L9">
        <v>2.21</v>
      </c>
      <c r="M9" t="str">
        <f>IF(Table1[[#This Row],[votes]]&gt;500000,"Yes","No")</f>
        <v>Yes</v>
      </c>
      <c r="N9" t="str">
        <f>IF(Table1[[#This Row],[year]]&lt;1980, "Classic", "Modern")</f>
        <v>Modern</v>
      </c>
    </row>
    <row r="10" spans="1:14" x14ac:dyDescent="0.35">
      <c r="A10" t="s">
        <v>44</v>
      </c>
      <c r="B10" t="s">
        <v>45</v>
      </c>
      <c r="C10">
        <v>2010</v>
      </c>
      <c r="D10">
        <v>148</v>
      </c>
      <c r="E10" t="s">
        <v>46</v>
      </c>
      <c r="F10">
        <v>8.8000000000000007</v>
      </c>
      <c r="G10">
        <v>2817928</v>
      </c>
      <c r="H10">
        <v>9</v>
      </c>
      <c r="I10" t="s">
        <v>26</v>
      </c>
      <c r="J10" t="s">
        <v>47</v>
      </c>
      <c r="K10" t="s">
        <v>16</v>
      </c>
      <c r="L10">
        <v>2.82</v>
      </c>
      <c r="M10" t="str">
        <f>IF(Table1[[#This Row],[votes]]&gt;500000,"Yes","No")</f>
        <v>Yes</v>
      </c>
      <c r="N10" t="str">
        <f>IF(Table1[[#This Row],[year]]&lt;1980, "Classic", "Modern")</f>
        <v>Modern</v>
      </c>
    </row>
    <row r="11" spans="1:14" x14ac:dyDescent="0.35">
      <c r="A11" t="s">
        <v>48</v>
      </c>
      <c r="B11" t="s">
        <v>49</v>
      </c>
      <c r="C11">
        <v>1999</v>
      </c>
      <c r="D11">
        <v>139</v>
      </c>
      <c r="E11" t="s">
        <v>50</v>
      </c>
      <c r="F11">
        <v>8.8000000000000007</v>
      </c>
      <c r="G11">
        <v>2609320</v>
      </c>
      <c r="H11">
        <v>10</v>
      </c>
      <c r="I11" t="s">
        <v>20</v>
      </c>
      <c r="J11" t="s">
        <v>15</v>
      </c>
      <c r="K11" t="s">
        <v>16</v>
      </c>
      <c r="L11">
        <v>2.61</v>
      </c>
      <c r="M11" t="str">
        <f>IF(Table1[[#This Row],[votes]]&gt;500000,"Yes","No")</f>
        <v>Yes</v>
      </c>
      <c r="N11" t="str">
        <f>IF(Table1[[#This Row],[year]]&lt;1980, "Classic", "Modern")</f>
        <v>Modern</v>
      </c>
    </row>
    <row r="12" spans="1:14" x14ac:dyDescent="0.35">
      <c r="A12" t="s">
        <v>51</v>
      </c>
      <c r="B12" t="s">
        <v>52</v>
      </c>
      <c r="C12">
        <v>1994</v>
      </c>
      <c r="D12">
        <v>142</v>
      </c>
      <c r="E12" t="s">
        <v>53</v>
      </c>
      <c r="F12">
        <v>8.8000000000000007</v>
      </c>
      <c r="G12">
        <v>2497456</v>
      </c>
      <c r="H12">
        <v>11</v>
      </c>
      <c r="I12" t="s">
        <v>14</v>
      </c>
      <c r="J12" t="s">
        <v>15</v>
      </c>
      <c r="K12" t="s">
        <v>16</v>
      </c>
      <c r="L12">
        <v>2.5</v>
      </c>
      <c r="M12" t="str">
        <f>IF(Table1[[#This Row],[votes]]&gt;500000,"Yes","No")</f>
        <v>Yes</v>
      </c>
      <c r="N12" t="str">
        <f>IF(Table1[[#This Row],[year]]&lt;1980, "Classic", "Modern")</f>
        <v>Modern</v>
      </c>
    </row>
    <row r="13" spans="1:14" x14ac:dyDescent="0.35">
      <c r="A13" t="s">
        <v>54</v>
      </c>
      <c r="B13" t="s">
        <v>55</v>
      </c>
      <c r="C13">
        <v>1994</v>
      </c>
      <c r="D13">
        <v>154</v>
      </c>
      <c r="E13" t="s">
        <v>19</v>
      </c>
      <c r="F13">
        <v>8.8000000000000007</v>
      </c>
      <c r="G13">
        <v>2435933</v>
      </c>
      <c r="H13">
        <v>12</v>
      </c>
      <c r="I13" t="s">
        <v>20</v>
      </c>
      <c r="J13" t="s">
        <v>15</v>
      </c>
      <c r="K13" t="s">
        <v>22</v>
      </c>
      <c r="L13">
        <v>2.44</v>
      </c>
      <c r="M13" t="str">
        <f>IF(Table1[[#This Row],[votes]]&gt;500000,"Yes","No")</f>
        <v>Yes</v>
      </c>
      <c r="N13" t="str">
        <f>IF(Table1[[#This Row],[year]]&lt;1980, "Classic", "Modern")</f>
        <v>Modern</v>
      </c>
    </row>
    <row r="14" spans="1:14" x14ac:dyDescent="0.35">
      <c r="A14" t="s">
        <v>56</v>
      </c>
      <c r="B14" t="s">
        <v>57</v>
      </c>
      <c r="C14">
        <v>2002</v>
      </c>
      <c r="D14">
        <v>179</v>
      </c>
      <c r="E14" t="s">
        <v>30</v>
      </c>
      <c r="F14">
        <v>8.8000000000000007</v>
      </c>
      <c r="G14">
        <v>1957938</v>
      </c>
      <c r="H14">
        <v>13</v>
      </c>
      <c r="I14" t="s">
        <v>31</v>
      </c>
      <c r="J14" t="s">
        <v>27</v>
      </c>
      <c r="K14" t="s">
        <v>22</v>
      </c>
      <c r="L14">
        <v>1.96</v>
      </c>
      <c r="M14" t="str">
        <f>IF(Table1[[#This Row],[votes]]&gt;500000,"Yes","No")</f>
        <v>Yes</v>
      </c>
      <c r="N14" t="str">
        <f>IF(Table1[[#This Row],[year]]&lt;1980, "Classic", "Modern")</f>
        <v>Modern</v>
      </c>
    </row>
    <row r="15" spans="1:14" x14ac:dyDescent="0.35">
      <c r="A15" t="s">
        <v>58</v>
      </c>
      <c r="B15" t="s">
        <v>59</v>
      </c>
      <c r="C15">
        <v>1966</v>
      </c>
      <c r="D15">
        <v>178</v>
      </c>
      <c r="E15" t="s">
        <v>60</v>
      </c>
      <c r="F15">
        <v>8.8000000000000007</v>
      </c>
      <c r="G15">
        <v>891714</v>
      </c>
      <c r="H15">
        <v>14</v>
      </c>
      <c r="I15" t="s">
        <v>31</v>
      </c>
      <c r="J15" t="s">
        <v>61</v>
      </c>
      <c r="K15" t="s">
        <v>22</v>
      </c>
      <c r="L15">
        <v>0.89</v>
      </c>
      <c r="M15" t="str">
        <f>IF(Table1[[#This Row],[votes]]&gt;500000,"Yes","No")</f>
        <v>Yes</v>
      </c>
      <c r="N15" t="str">
        <f>IF(Table1[[#This Row],[year]]&lt;1980, "Classic", "Modern")</f>
        <v>Classic</v>
      </c>
    </row>
    <row r="16" spans="1:14" x14ac:dyDescent="0.35">
      <c r="A16" t="s">
        <v>62</v>
      </c>
      <c r="B16" t="s">
        <v>63</v>
      </c>
      <c r="C16">
        <v>2014</v>
      </c>
      <c r="D16">
        <v>169</v>
      </c>
      <c r="E16" t="s">
        <v>64</v>
      </c>
      <c r="F16">
        <v>8.6999999999999993</v>
      </c>
      <c r="G16">
        <v>2530273</v>
      </c>
      <c r="H16">
        <v>15</v>
      </c>
      <c r="I16" t="s">
        <v>31</v>
      </c>
      <c r="J16" t="s">
        <v>47</v>
      </c>
      <c r="K16" t="s">
        <v>22</v>
      </c>
      <c r="L16">
        <v>2.5299999999999998</v>
      </c>
      <c r="M16" t="str">
        <f>IF(Table1[[#This Row],[votes]]&gt;500000,"Yes","No")</f>
        <v>Yes</v>
      </c>
      <c r="N16" t="str">
        <f>IF(Table1[[#This Row],[year]]&lt;1980, "Classic", "Modern")</f>
        <v>Modern</v>
      </c>
    </row>
    <row r="17" spans="1:14" x14ac:dyDescent="0.35">
      <c r="A17" t="s">
        <v>65</v>
      </c>
      <c r="B17" t="s">
        <v>66</v>
      </c>
      <c r="C17">
        <v>1999</v>
      </c>
      <c r="D17">
        <v>136</v>
      </c>
      <c r="E17" t="s">
        <v>67</v>
      </c>
      <c r="F17">
        <v>8.6999999999999993</v>
      </c>
      <c r="G17">
        <v>2248191</v>
      </c>
      <c r="H17">
        <v>16</v>
      </c>
      <c r="I17" t="s">
        <v>26</v>
      </c>
      <c r="J17" t="s">
        <v>15</v>
      </c>
      <c r="K17" t="s">
        <v>16</v>
      </c>
      <c r="L17">
        <v>2.25</v>
      </c>
      <c r="M17" t="str">
        <f>IF(Table1[[#This Row],[votes]]&gt;500000,"Yes","No")</f>
        <v>Yes</v>
      </c>
      <c r="N17" t="str">
        <f>IF(Table1[[#This Row],[year]]&lt;1980, "Classic", "Modern")</f>
        <v>Modern</v>
      </c>
    </row>
    <row r="18" spans="1:14" x14ac:dyDescent="0.35">
      <c r="A18" t="s">
        <v>68</v>
      </c>
      <c r="B18" t="s">
        <v>69</v>
      </c>
      <c r="C18">
        <v>1980</v>
      </c>
      <c r="D18">
        <v>124</v>
      </c>
      <c r="E18" t="s">
        <v>70</v>
      </c>
      <c r="F18">
        <v>8.6999999999999993</v>
      </c>
      <c r="G18">
        <v>1505616</v>
      </c>
      <c r="H18">
        <v>17</v>
      </c>
      <c r="I18" t="s">
        <v>26</v>
      </c>
      <c r="J18" t="s">
        <v>71</v>
      </c>
      <c r="K18" t="s">
        <v>16</v>
      </c>
      <c r="L18">
        <v>1.51</v>
      </c>
      <c r="M18" t="str">
        <f>IF(Table1[[#This Row],[votes]]&gt;500000,"Yes","No")</f>
        <v>Yes</v>
      </c>
      <c r="N18" t="str">
        <f>IF(Table1[[#This Row],[year]]&lt;1980, "Classic", "Modern")</f>
        <v>Modern</v>
      </c>
    </row>
    <row r="19" spans="1:14" x14ac:dyDescent="0.35">
      <c r="A19" t="s">
        <v>72</v>
      </c>
      <c r="B19" t="s">
        <v>73</v>
      </c>
      <c r="C19">
        <v>1990</v>
      </c>
      <c r="D19">
        <v>145</v>
      </c>
      <c r="E19" t="s">
        <v>74</v>
      </c>
      <c r="F19">
        <v>8.6999999999999993</v>
      </c>
      <c r="G19">
        <v>1392171</v>
      </c>
      <c r="H19">
        <v>18</v>
      </c>
      <c r="I19" t="s">
        <v>35</v>
      </c>
      <c r="J19" t="s">
        <v>15</v>
      </c>
      <c r="K19" t="s">
        <v>16</v>
      </c>
      <c r="L19">
        <v>1.39</v>
      </c>
      <c r="M19" t="str">
        <f>IF(Table1[[#This Row],[votes]]&gt;500000,"Yes","No")</f>
        <v>Yes</v>
      </c>
      <c r="N19" t="str">
        <f>IF(Table1[[#This Row],[year]]&lt;1980, "Classic", "Modern")</f>
        <v>Modern</v>
      </c>
    </row>
    <row r="20" spans="1:14" x14ac:dyDescent="0.35">
      <c r="A20" t="s">
        <v>75</v>
      </c>
      <c r="B20" t="s">
        <v>76</v>
      </c>
      <c r="C20">
        <v>2023</v>
      </c>
      <c r="D20">
        <v>147</v>
      </c>
      <c r="E20" t="s">
        <v>77</v>
      </c>
      <c r="F20">
        <v>8.6999999999999993</v>
      </c>
      <c r="G20">
        <v>171657</v>
      </c>
      <c r="H20">
        <v>19</v>
      </c>
      <c r="I20" t="s">
        <v>35</v>
      </c>
      <c r="J20" t="s">
        <v>78</v>
      </c>
      <c r="K20" t="s">
        <v>16</v>
      </c>
      <c r="L20">
        <v>0.17</v>
      </c>
      <c r="M20" t="str">
        <f>IF(Table1[[#This Row],[votes]]&gt;500000,"Yes","No")</f>
        <v>No</v>
      </c>
      <c r="N20" t="str">
        <f>IF(Table1[[#This Row],[year]]&lt;1980, "Classic", "Modern")</f>
        <v>Modern</v>
      </c>
    </row>
    <row r="21" spans="1:14" x14ac:dyDescent="0.35">
      <c r="A21" t="s">
        <v>79</v>
      </c>
      <c r="B21" t="s">
        <v>80</v>
      </c>
      <c r="C21">
        <v>1995</v>
      </c>
      <c r="D21">
        <v>127</v>
      </c>
      <c r="E21" t="s">
        <v>81</v>
      </c>
      <c r="F21">
        <v>8.6</v>
      </c>
      <c r="G21">
        <v>2021789</v>
      </c>
      <c r="H21">
        <v>20</v>
      </c>
      <c r="I21" t="s">
        <v>20</v>
      </c>
      <c r="J21" t="s">
        <v>15</v>
      </c>
      <c r="K21" t="s">
        <v>16</v>
      </c>
      <c r="L21">
        <v>2.02</v>
      </c>
      <c r="M21" t="str">
        <f>IF(Table1[[#This Row],[votes]]&gt;500000,"Yes","No")</f>
        <v>Yes</v>
      </c>
      <c r="N21" t="str">
        <f>IF(Table1[[#This Row],[year]]&lt;1980, "Classic", "Modern")</f>
        <v>Modern</v>
      </c>
    </row>
    <row r="22" spans="1:14" x14ac:dyDescent="0.35">
      <c r="A22" t="s">
        <v>82</v>
      </c>
      <c r="B22" t="s">
        <v>83</v>
      </c>
      <c r="C22">
        <v>1991</v>
      </c>
      <c r="D22">
        <v>118</v>
      </c>
      <c r="E22" t="s">
        <v>84</v>
      </c>
      <c r="F22">
        <v>8.6</v>
      </c>
      <c r="G22">
        <v>1723917</v>
      </c>
      <c r="H22">
        <v>21</v>
      </c>
      <c r="I22" t="s">
        <v>20</v>
      </c>
      <c r="J22" t="s">
        <v>15</v>
      </c>
      <c r="K22" t="s">
        <v>16</v>
      </c>
      <c r="L22">
        <v>1.72</v>
      </c>
      <c r="M22" t="str">
        <f>IF(Table1[[#This Row],[votes]]&gt;500000,"Yes","No")</f>
        <v>Yes</v>
      </c>
      <c r="N22" t="str">
        <f>IF(Table1[[#This Row],[year]]&lt;1980, "Classic", "Modern")</f>
        <v>Modern</v>
      </c>
    </row>
    <row r="23" spans="1:14" x14ac:dyDescent="0.35">
      <c r="A23" t="s">
        <v>85</v>
      </c>
      <c r="B23" t="s">
        <v>86</v>
      </c>
      <c r="C23">
        <v>1998</v>
      </c>
      <c r="D23">
        <v>169</v>
      </c>
      <c r="E23" t="s">
        <v>87</v>
      </c>
      <c r="F23">
        <v>8.6</v>
      </c>
      <c r="G23">
        <v>1639586</v>
      </c>
      <c r="H23">
        <v>22</v>
      </c>
      <c r="I23" t="s">
        <v>14</v>
      </c>
      <c r="J23" t="s">
        <v>15</v>
      </c>
      <c r="K23" t="s">
        <v>22</v>
      </c>
      <c r="L23">
        <v>1.64</v>
      </c>
      <c r="M23" t="str">
        <f>IF(Table1[[#This Row],[votes]]&gt;500000,"Yes","No")</f>
        <v>Yes</v>
      </c>
      <c r="N23" t="str">
        <f>IF(Table1[[#This Row],[year]]&lt;1980, "Classic", "Modern")</f>
        <v>Modern</v>
      </c>
    </row>
    <row r="24" spans="1:14" x14ac:dyDescent="0.35">
      <c r="A24" t="s">
        <v>88</v>
      </c>
      <c r="B24" t="s">
        <v>89</v>
      </c>
      <c r="C24">
        <v>1977</v>
      </c>
      <c r="D24">
        <v>121</v>
      </c>
      <c r="E24" t="s">
        <v>70</v>
      </c>
      <c r="F24">
        <v>8.6</v>
      </c>
      <c r="G24">
        <v>1570960</v>
      </c>
      <c r="H24">
        <v>23</v>
      </c>
      <c r="I24" t="s">
        <v>26</v>
      </c>
      <c r="J24" t="s">
        <v>21</v>
      </c>
      <c r="K24" t="s">
        <v>16</v>
      </c>
      <c r="L24">
        <v>1.57</v>
      </c>
      <c r="M24" t="str">
        <f>IF(Table1[[#This Row],[votes]]&gt;500000,"Yes","No")</f>
        <v>Yes</v>
      </c>
      <c r="N24" t="str">
        <f>IF(Table1[[#This Row],[year]]&lt;1980, "Classic", "Modern")</f>
        <v>Classic</v>
      </c>
    </row>
    <row r="25" spans="1:14" x14ac:dyDescent="0.35">
      <c r="A25" t="s">
        <v>90</v>
      </c>
      <c r="B25" t="s">
        <v>91</v>
      </c>
      <c r="C25">
        <v>1999</v>
      </c>
      <c r="D25">
        <v>189</v>
      </c>
      <c r="E25" t="s">
        <v>92</v>
      </c>
      <c r="F25">
        <v>8.6</v>
      </c>
      <c r="G25">
        <v>1561989</v>
      </c>
      <c r="H25">
        <v>24</v>
      </c>
      <c r="I25" t="s">
        <v>20</v>
      </c>
      <c r="J25" t="s">
        <v>15</v>
      </c>
      <c r="K25" t="s">
        <v>22</v>
      </c>
      <c r="L25">
        <v>1.56</v>
      </c>
      <c r="M25" t="str">
        <f>IF(Table1[[#This Row],[votes]]&gt;500000,"Yes","No")</f>
        <v>Yes</v>
      </c>
      <c r="N25" t="str">
        <f>IF(Table1[[#This Row],[year]]&lt;1980, "Classic", "Modern")</f>
        <v>Modern</v>
      </c>
    </row>
    <row r="26" spans="1:14" x14ac:dyDescent="0.35">
      <c r="A26" t="s">
        <v>93</v>
      </c>
      <c r="B26" t="s">
        <v>94</v>
      </c>
      <c r="C26">
        <v>1991</v>
      </c>
      <c r="D26">
        <v>137</v>
      </c>
      <c r="E26" t="s">
        <v>46</v>
      </c>
      <c r="F26">
        <v>8.6</v>
      </c>
      <c r="G26">
        <v>1284572</v>
      </c>
      <c r="H26">
        <v>25</v>
      </c>
      <c r="I26" t="s">
        <v>26</v>
      </c>
      <c r="J26" t="s">
        <v>15</v>
      </c>
      <c r="K26" t="s">
        <v>16</v>
      </c>
      <c r="L26">
        <v>1.28</v>
      </c>
      <c r="M26" t="str">
        <f>IF(Table1[[#This Row],[votes]]&gt;500000,"Yes","No")</f>
        <v>Yes</v>
      </c>
      <c r="N26" t="str">
        <f>IF(Table1[[#This Row],[year]]&lt;1980, "Classic", "Modern")</f>
        <v>Modern</v>
      </c>
    </row>
    <row r="27" spans="1:14" x14ac:dyDescent="0.35">
      <c r="A27" t="s">
        <v>95</v>
      </c>
      <c r="B27" t="s">
        <v>96</v>
      </c>
      <c r="C27">
        <v>1975</v>
      </c>
      <c r="D27">
        <v>133</v>
      </c>
      <c r="E27" t="s">
        <v>14</v>
      </c>
      <c r="F27">
        <v>8.6</v>
      </c>
      <c r="G27">
        <v>1157549</v>
      </c>
      <c r="H27">
        <v>26</v>
      </c>
      <c r="I27" t="s">
        <v>14</v>
      </c>
      <c r="J27" t="s">
        <v>21</v>
      </c>
      <c r="K27" t="s">
        <v>16</v>
      </c>
      <c r="L27">
        <v>1.1599999999999999</v>
      </c>
      <c r="M27" t="str">
        <f>IF(Table1[[#This Row],[votes]]&gt;500000,"Yes","No")</f>
        <v>Yes</v>
      </c>
      <c r="N27" t="str">
        <f>IF(Table1[[#This Row],[year]]&lt;1980, "Classic", "Modern")</f>
        <v>Classic</v>
      </c>
    </row>
    <row r="28" spans="1:14" x14ac:dyDescent="0.35">
      <c r="A28" t="s">
        <v>97</v>
      </c>
      <c r="B28" t="s">
        <v>98</v>
      </c>
      <c r="C28">
        <v>2001</v>
      </c>
      <c r="D28">
        <v>124</v>
      </c>
      <c r="E28" t="s">
        <v>99</v>
      </c>
      <c r="F28">
        <v>8.6</v>
      </c>
      <c r="G28">
        <v>967483</v>
      </c>
      <c r="H28">
        <v>27</v>
      </c>
      <c r="I28" t="s">
        <v>31</v>
      </c>
      <c r="J28" t="s">
        <v>27</v>
      </c>
      <c r="K28" t="s">
        <v>16</v>
      </c>
      <c r="L28">
        <v>0.97</v>
      </c>
      <c r="M28" t="str">
        <f>IF(Table1[[#This Row],[votes]]&gt;500000,"Yes","No")</f>
        <v>Yes</v>
      </c>
      <c r="N28" t="str">
        <f>IF(Table1[[#This Row],[year]]&lt;1980, "Classic", "Modern")</f>
        <v>Modern</v>
      </c>
    </row>
    <row r="29" spans="1:14" x14ac:dyDescent="0.35">
      <c r="A29" t="s">
        <v>100</v>
      </c>
      <c r="B29" t="s">
        <v>101</v>
      </c>
      <c r="C29">
        <v>2002</v>
      </c>
      <c r="D29">
        <v>130</v>
      </c>
      <c r="E29" t="s">
        <v>19</v>
      </c>
      <c r="F29">
        <v>8.6</v>
      </c>
      <c r="G29">
        <v>871176</v>
      </c>
      <c r="H29">
        <v>28</v>
      </c>
      <c r="I29" t="s">
        <v>20</v>
      </c>
      <c r="J29" t="s">
        <v>27</v>
      </c>
      <c r="K29" t="s">
        <v>16</v>
      </c>
      <c r="L29">
        <v>0.87</v>
      </c>
      <c r="M29" t="str">
        <f>IF(Table1[[#This Row],[votes]]&gt;500000,"Yes","No")</f>
        <v>Yes</v>
      </c>
      <c r="N29" t="str">
        <f>IF(Table1[[#This Row],[year]]&lt;1980, "Classic", "Modern")</f>
        <v>Modern</v>
      </c>
    </row>
    <row r="30" spans="1:14" x14ac:dyDescent="0.35">
      <c r="A30" t="s">
        <v>102</v>
      </c>
      <c r="B30" t="s">
        <v>103</v>
      </c>
      <c r="C30">
        <v>1997</v>
      </c>
      <c r="D30">
        <v>116</v>
      </c>
      <c r="E30" t="s">
        <v>104</v>
      </c>
      <c r="F30">
        <v>8.6</v>
      </c>
      <c r="G30">
        <v>813151</v>
      </c>
      <c r="H30">
        <v>29</v>
      </c>
      <c r="I30" t="s">
        <v>105</v>
      </c>
      <c r="J30" t="s">
        <v>15</v>
      </c>
      <c r="K30" t="s">
        <v>16</v>
      </c>
      <c r="L30">
        <v>0.81</v>
      </c>
      <c r="M30" t="str">
        <f>IF(Table1[[#This Row],[votes]]&gt;500000,"Yes","No")</f>
        <v>Yes</v>
      </c>
      <c r="N30" t="str">
        <f>IF(Table1[[#This Row],[year]]&lt;1980, "Classic", "Modern")</f>
        <v>Modern</v>
      </c>
    </row>
    <row r="31" spans="1:14" x14ac:dyDescent="0.35">
      <c r="A31" t="s">
        <v>106</v>
      </c>
      <c r="B31" t="s">
        <v>107</v>
      </c>
      <c r="C31">
        <v>1946</v>
      </c>
      <c r="D31">
        <v>130</v>
      </c>
      <c r="E31" t="s">
        <v>108</v>
      </c>
      <c r="F31">
        <v>8.6</v>
      </c>
      <c r="G31">
        <v>554973</v>
      </c>
      <c r="H31">
        <v>30</v>
      </c>
      <c r="I31" t="s">
        <v>14</v>
      </c>
      <c r="J31" t="s">
        <v>109</v>
      </c>
      <c r="K31" t="s">
        <v>16</v>
      </c>
      <c r="L31">
        <v>0.55000000000000004</v>
      </c>
      <c r="M31" t="str">
        <f>IF(Table1[[#This Row],[votes]]&gt;500000,"Yes","No")</f>
        <v>Yes</v>
      </c>
      <c r="N31" t="str">
        <f>IF(Table1[[#This Row],[year]]&lt;1980, "Classic", "Modern")</f>
        <v>Classic</v>
      </c>
    </row>
    <row r="32" spans="1:14" x14ac:dyDescent="0.35">
      <c r="A32" t="s">
        <v>110</v>
      </c>
      <c r="B32" t="s">
        <v>111</v>
      </c>
      <c r="C32">
        <v>1954</v>
      </c>
      <c r="D32">
        <v>207</v>
      </c>
      <c r="E32" t="s">
        <v>112</v>
      </c>
      <c r="F32">
        <v>8.6</v>
      </c>
      <c r="G32">
        <v>401883</v>
      </c>
      <c r="H32">
        <v>31</v>
      </c>
      <c r="I32" t="s">
        <v>26</v>
      </c>
      <c r="J32" t="s">
        <v>40</v>
      </c>
      <c r="K32" t="s">
        <v>22</v>
      </c>
      <c r="L32">
        <v>0.4</v>
      </c>
      <c r="M32" t="str">
        <f>IF(Table1[[#This Row],[votes]]&gt;500000,"Yes","No")</f>
        <v>No</v>
      </c>
      <c r="N32" t="str">
        <f>IF(Table1[[#This Row],[year]]&lt;1980, "Classic", "Modern")</f>
        <v>Classic</v>
      </c>
    </row>
    <row r="33" spans="1:14" x14ac:dyDescent="0.35">
      <c r="A33" t="s">
        <v>113</v>
      </c>
      <c r="B33" t="s">
        <v>114</v>
      </c>
      <c r="C33">
        <v>2021</v>
      </c>
      <c r="D33">
        <v>164</v>
      </c>
      <c r="E33" t="s">
        <v>19</v>
      </c>
      <c r="F33">
        <v>8.6</v>
      </c>
      <c r="G33">
        <v>234238</v>
      </c>
      <c r="H33">
        <v>32</v>
      </c>
      <c r="I33" t="s">
        <v>20</v>
      </c>
      <c r="J33" t="s">
        <v>78</v>
      </c>
      <c r="K33" t="s">
        <v>22</v>
      </c>
      <c r="L33">
        <v>0.23</v>
      </c>
      <c r="M33" t="str">
        <f>IF(Table1[[#This Row],[votes]]&gt;500000,"Yes","No")</f>
        <v>No</v>
      </c>
      <c r="N33" t="str">
        <f>IF(Table1[[#This Row],[year]]&lt;1980, "Classic", "Modern")</f>
        <v>Modern</v>
      </c>
    </row>
    <row r="34" spans="1:14" x14ac:dyDescent="0.35">
      <c r="A34" t="s">
        <v>115</v>
      </c>
      <c r="B34" t="s">
        <v>116</v>
      </c>
      <c r="C34">
        <v>2020</v>
      </c>
      <c r="D34">
        <v>153</v>
      </c>
      <c r="E34" t="s">
        <v>14</v>
      </c>
      <c r="F34">
        <v>8.6</v>
      </c>
      <c r="G34">
        <v>131892</v>
      </c>
      <c r="H34">
        <v>33</v>
      </c>
      <c r="I34" t="s">
        <v>14</v>
      </c>
      <c r="J34" t="s">
        <v>78</v>
      </c>
      <c r="K34" t="s">
        <v>22</v>
      </c>
      <c r="L34">
        <v>0.13</v>
      </c>
      <c r="M34" t="str">
        <f>IF(Table1[[#This Row],[votes]]&gt;500000,"Yes","No")</f>
        <v>No</v>
      </c>
      <c r="N34" t="str">
        <f>IF(Table1[[#This Row],[year]]&lt;1980, "Classic", "Modern")</f>
        <v>Modern</v>
      </c>
    </row>
    <row r="35" spans="1:14" x14ac:dyDescent="0.35">
      <c r="A35" t="s">
        <v>117</v>
      </c>
      <c r="B35" t="s">
        <v>118</v>
      </c>
      <c r="C35">
        <v>2012</v>
      </c>
      <c r="D35">
        <v>165</v>
      </c>
      <c r="E35" t="s">
        <v>119</v>
      </c>
      <c r="F35">
        <v>8.5</v>
      </c>
      <c r="G35">
        <v>1883363</v>
      </c>
      <c r="H35">
        <v>34</v>
      </c>
      <c r="I35" t="s">
        <v>14</v>
      </c>
      <c r="J35" t="s">
        <v>47</v>
      </c>
      <c r="K35" t="s">
        <v>22</v>
      </c>
      <c r="L35">
        <v>1.88</v>
      </c>
      <c r="M35" t="str">
        <f>IF(Table1[[#This Row],[votes]]&gt;500000,"Yes","No")</f>
        <v>Yes</v>
      </c>
      <c r="N35" t="str">
        <f>IF(Table1[[#This Row],[year]]&lt;1980, "Classic", "Modern")</f>
        <v>Modern</v>
      </c>
    </row>
    <row r="36" spans="1:14" x14ac:dyDescent="0.35">
      <c r="A36" t="s">
        <v>120</v>
      </c>
      <c r="B36" t="s">
        <v>121</v>
      </c>
      <c r="C36">
        <v>2000</v>
      </c>
      <c r="D36">
        <v>155</v>
      </c>
      <c r="E36" t="s">
        <v>122</v>
      </c>
      <c r="F36">
        <v>8.5</v>
      </c>
      <c r="G36">
        <v>1850369</v>
      </c>
      <c r="H36">
        <v>35</v>
      </c>
      <c r="I36" t="s">
        <v>26</v>
      </c>
      <c r="J36" t="s">
        <v>27</v>
      </c>
      <c r="K36" t="s">
        <v>22</v>
      </c>
      <c r="L36">
        <v>1.85</v>
      </c>
      <c r="M36" t="str">
        <f>IF(Table1[[#This Row],[votes]]&gt;500000,"Yes","No")</f>
        <v>Yes</v>
      </c>
      <c r="N36" t="str">
        <f>IF(Table1[[#This Row],[year]]&lt;1980, "Classic", "Modern")</f>
        <v>Modern</v>
      </c>
    </row>
    <row r="37" spans="1:14" x14ac:dyDescent="0.35">
      <c r="A37" t="s">
        <v>123</v>
      </c>
      <c r="B37" t="s">
        <v>124</v>
      </c>
      <c r="C37">
        <v>2006</v>
      </c>
      <c r="D37">
        <v>130</v>
      </c>
      <c r="E37" t="s">
        <v>125</v>
      </c>
      <c r="F37">
        <v>8.5</v>
      </c>
      <c r="G37">
        <v>1588402</v>
      </c>
      <c r="H37">
        <v>36</v>
      </c>
      <c r="I37" t="s">
        <v>14</v>
      </c>
      <c r="J37" t="s">
        <v>27</v>
      </c>
      <c r="K37" t="s">
        <v>16</v>
      </c>
      <c r="L37">
        <v>1.59</v>
      </c>
      <c r="M37" t="str">
        <f>IF(Table1[[#This Row],[votes]]&gt;500000,"Yes","No")</f>
        <v>Yes</v>
      </c>
      <c r="N37" t="str">
        <f>IF(Table1[[#This Row],[year]]&lt;1980, "Classic", "Modern")</f>
        <v>Modern</v>
      </c>
    </row>
    <row r="38" spans="1:14" x14ac:dyDescent="0.35">
      <c r="A38" t="s">
        <v>126</v>
      </c>
      <c r="B38" t="s">
        <v>127</v>
      </c>
      <c r="C38">
        <v>2006</v>
      </c>
      <c r="D38">
        <v>151</v>
      </c>
      <c r="E38" t="s">
        <v>50</v>
      </c>
      <c r="F38">
        <v>8.5</v>
      </c>
      <c r="G38">
        <v>1554593</v>
      </c>
      <c r="H38">
        <v>37</v>
      </c>
      <c r="I38" t="s">
        <v>20</v>
      </c>
      <c r="J38" t="s">
        <v>27</v>
      </c>
      <c r="K38" t="s">
        <v>22</v>
      </c>
      <c r="L38">
        <v>1.55</v>
      </c>
      <c r="M38" t="str">
        <f>IF(Table1[[#This Row],[votes]]&gt;500000,"Yes","No")</f>
        <v>Yes</v>
      </c>
      <c r="N38" t="str">
        <f>IF(Table1[[#This Row],[year]]&lt;1980, "Classic", "Modern")</f>
        <v>Modern</v>
      </c>
    </row>
    <row r="39" spans="1:14" x14ac:dyDescent="0.35">
      <c r="A39" t="s">
        <v>128</v>
      </c>
      <c r="B39" t="s">
        <v>129</v>
      </c>
      <c r="C39">
        <v>1985</v>
      </c>
      <c r="D39">
        <v>116</v>
      </c>
      <c r="E39" t="s">
        <v>130</v>
      </c>
      <c r="F39">
        <v>8.5</v>
      </c>
      <c r="G39">
        <v>1453660</v>
      </c>
      <c r="H39">
        <v>38</v>
      </c>
      <c r="I39" t="s">
        <v>31</v>
      </c>
      <c r="J39" t="s">
        <v>71</v>
      </c>
      <c r="K39" t="s">
        <v>16</v>
      </c>
      <c r="L39">
        <v>1.45</v>
      </c>
      <c r="M39" t="str">
        <f>IF(Table1[[#This Row],[votes]]&gt;500000,"Yes","No")</f>
        <v>Yes</v>
      </c>
      <c r="N39" t="str">
        <f>IF(Table1[[#This Row],[year]]&lt;1980, "Classic", "Modern")</f>
        <v>Modern</v>
      </c>
    </row>
    <row r="40" spans="1:14" x14ac:dyDescent="0.35">
      <c r="A40" t="s">
        <v>131</v>
      </c>
      <c r="B40" t="s">
        <v>132</v>
      </c>
      <c r="C40">
        <v>1994</v>
      </c>
      <c r="D40">
        <v>110</v>
      </c>
      <c r="E40" t="s">
        <v>25</v>
      </c>
      <c r="F40">
        <v>8.5</v>
      </c>
      <c r="G40">
        <v>1351367</v>
      </c>
      <c r="H40">
        <v>39</v>
      </c>
      <c r="I40" t="s">
        <v>26</v>
      </c>
      <c r="J40" t="s">
        <v>15</v>
      </c>
      <c r="K40" t="s">
        <v>16</v>
      </c>
      <c r="L40">
        <v>1.35</v>
      </c>
      <c r="M40" t="str">
        <f>IF(Table1[[#This Row],[votes]]&gt;500000,"Yes","No")</f>
        <v>Yes</v>
      </c>
      <c r="N40" t="str">
        <f>IF(Table1[[#This Row],[year]]&lt;1980, "Classic", "Modern")</f>
        <v>Modern</v>
      </c>
    </row>
    <row r="41" spans="1:14" x14ac:dyDescent="0.35">
      <c r="A41" t="s">
        <v>133</v>
      </c>
      <c r="B41" t="s">
        <v>134</v>
      </c>
      <c r="C41">
        <v>1998</v>
      </c>
      <c r="D41">
        <v>119</v>
      </c>
      <c r="E41" t="s">
        <v>19</v>
      </c>
      <c r="F41">
        <v>8.5</v>
      </c>
      <c r="G41">
        <v>1273533</v>
      </c>
      <c r="H41">
        <v>40</v>
      </c>
      <c r="I41" t="s">
        <v>20</v>
      </c>
      <c r="J41" t="s">
        <v>15</v>
      </c>
      <c r="K41" t="s">
        <v>16</v>
      </c>
      <c r="L41">
        <v>1.27</v>
      </c>
      <c r="M41" t="str">
        <f>IF(Table1[[#This Row],[votes]]&gt;500000,"Yes","No")</f>
        <v>Yes</v>
      </c>
      <c r="N41" t="str">
        <f>IF(Table1[[#This Row],[year]]&lt;1980, "Classic", "Modern")</f>
        <v>Modern</v>
      </c>
    </row>
    <row r="42" spans="1:14" x14ac:dyDescent="0.35">
      <c r="A42" t="s">
        <v>135</v>
      </c>
      <c r="B42" t="s">
        <v>136</v>
      </c>
      <c r="C42">
        <v>1994</v>
      </c>
      <c r="D42">
        <v>88</v>
      </c>
      <c r="E42" t="s">
        <v>137</v>
      </c>
      <c r="F42">
        <v>8.5</v>
      </c>
      <c r="G42">
        <v>1259139</v>
      </c>
      <c r="H42">
        <v>41</v>
      </c>
      <c r="I42" t="s">
        <v>31</v>
      </c>
      <c r="J42" t="s">
        <v>15</v>
      </c>
      <c r="K42" t="s">
        <v>41</v>
      </c>
      <c r="L42">
        <v>1.26</v>
      </c>
      <c r="M42" t="str">
        <f>IF(Table1[[#This Row],[votes]]&gt;500000,"Yes","No")</f>
        <v>Yes</v>
      </c>
      <c r="N42" t="str">
        <f>IF(Table1[[#This Row],[year]]&lt;1980, "Classic", "Modern")</f>
        <v>Modern</v>
      </c>
    </row>
    <row r="43" spans="1:14" x14ac:dyDescent="0.35">
      <c r="A43" t="s">
        <v>138</v>
      </c>
      <c r="B43" t="s">
        <v>139</v>
      </c>
      <c r="C43">
        <v>1995</v>
      </c>
      <c r="D43">
        <v>106</v>
      </c>
      <c r="E43" t="s">
        <v>81</v>
      </c>
      <c r="F43">
        <v>8.5</v>
      </c>
      <c r="G43">
        <v>1239606</v>
      </c>
      <c r="H43">
        <v>42</v>
      </c>
      <c r="I43" t="s">
        <v>20</v>
      </c>
      <c r="J43" t="s">
        <v>15</v>
      </c>
      <c r="K43" t="s">
        <v>16</v>
      </c>
      <c r="L43">
        <v>1.24</v>
      </c>
      <c r="M43" t="str">
        <f>IF(Table1[[#This Row],[votes]]&gt;500000,"Yes","No")</f>
        <v>Yes</v>
      </c>
      <c r="N43" t="str">
        <f>IF(Table1[[#This Row],[year]]&lt;1980, "Classic", "Modern")</f>
        <v>Modern</v>
      </c>
    </row>
    <row r="44" spans="1:14" x14ac:dyDescent="0.35">
      <c r="A44" t="s">
        <v>140</v>
      </c>
      <c r="B44" t="s">
        <v>141</v>
      </c>
      <c r="C44">
        <v>2019</v>
      </c>
      <c r="D44">
        <v>132</v>
      </c>
      <c r="E44" t="s">
        <v>142</v>
      </c>
      <c r="F44">
        <v>8.5</v>
      </c>
      <c r="G44">
        <v>1164272</v>
      </c>
      <c r="H44">
        <v>43</v>
      </c>
      <c r="I44" t="s">
        <v>14</v>
      </c>
      <c r="J44" t="s">
        <v>47</v>
      </c>
      <c r="K44" t="s">
        <v>16</v>
      </c>
      <c r="L44">
        <v>1.1599999999999999</v>
      </c>
      <c r="M44" t="str">
        <f>IF(Table1[[#This Row],[votes]]&gt;500000,"Yes","No")</f>
        <v>Yes</v>
      </c>
      <c r="N44" t="str">
        <f>IF(Table1[[#This Row],[year]]&lt;1980, "Classic", "Modern")</f>
        <v>Modern</v>
      </c>
    </row>
    <row r="45" spans="1:14" x14ac:dyDescent="0.35">
      <c r="A45" t="s">
        <v>143</v>
      </c>
      <c r="B45" t="s">
        <v>144</v>
      </c>
      <c r="C45">
        <v>2014</v>
      </c>
      <c r="D45">
        <v>106</v>
      </c>
      <c r="E45" t="s">
        <v>145</v>
      </c>
      <c r="F45">
        <v>8.5</v>
      </c>
      <c r="G45">
        <v>1155239</v>
      </c>
      <c r="H45">
        <v>44</v>
      </c>
      <c r="I45" t="s">
        <v>14</v>
      </c>
      <c r="J45" t="s">
        <v>47</v>
      </c>
      <c r="K45" t="s">
        <v>16</v>
      </c>
      <c r="L45">
        <v>1.1599999999999999</v>
      </c>
      <c r="M45" t="str">
        <f>IF(Table1[[#This Row],[votes]]&gt;500000,"Yes","No")</f>
        <v>Yes</v>
      </c>
      <c r="N45" t="str">
        <f>IF(Table1[[#This Row],[year]]&lt;1980, "Classic", "Modern")</f>
        <v>Modern</v>
      </c>
    </row>
    <row r="46" spans="1:14" x14ac:dyDescent="0.35">
      <c r="A46" t="s">
        <v>146</v>
      </c>
      <c r="B46" t="s">
        <v>147</v>
      </c>
      <c r="C46">
        <v>1979</v>
      </c>
      <c r="D46">
        <v>117</v>
      </c>
      <c r="E46" t="s">
        <v>148</v>
      </c>
      <c r="F46">
        <v>8.5</v>
      </c>
      <c r="G46">
        <v>1064456</v>
      </c>
      <c r="H46">
        <v>45</v>
      </c>
      <c r="I46" t="s">
        <v>149</v>
      </c>
      <c r="J46" t="s">
        <v>21</v>
      </c>
      <c r="K46" t="s">
        <v>16</v>
      </c>
      <c r="L46">
        <v>1.06</v>
      </c>
      <c r="M46" t="str">
        <f>IF(Table1[[#This Row],[votes]]&gt;500000,"Yes","No")</f>
        <v>Yes</v>
      </c>
      <c r="N46" t="str">
        <f>IF(Table1[[#This Row],[year]]&lt;1980, "Classic", "Modern")</f>
        <v>Classic</v>
      </c>
    </row>
    <row r="47" spans="1:14" x14ac:dyDescent="0.35">
      <c r="A47" t="s">
        <v>150</v>
      </c>
      <c r="B47" t="s">
        <v>151</v>
      </c>
      <c r="C47">
        <v>2011</v>
      </c>
      <c r="D47">
        <v>112</v>
      </c>
      <c r="E47" t="s">
        <v>152</v>
      </c>
      <c r="F47">
        <v>8.5</v>
      </c>
      <c r="G47">
        <v>1027718</v>
      </c>
      <c r="H47">
        <v>46</v>
      </c>
      <c r="I47" t="s">
        <v>105</v>
      </c>
      <c r="J47" t="s">
        <v>47</v>
      </c>
      <c r="K47" t="s">
        <v>16</v>
      </c>
      <c r="L47">
        <v>1.03</v>
      </c>
      <c r="M47" t="str">
        <f>IF(Table1[[#This Row],[votes]]&gt;500000,"Yes","No")</f>
        <v>Yes</v>
      </c>
      <c r="N47" t="str">
        <f>IF(Table1[[#This Row],[year]]&lt;1980, "Classic", "Modern")</f>
        <v>Modern</v>
      </c>
    </row>
    <row r="48" spans="1:14" x14ac:dyDescent="0.35">
      <c r="A48" t="s">
        <v>153</v>
      </c>
      <c r="B48" t="s">
        <v>154</v>
      </c>
      <c r="C48">
        <v>2002</v>
      </c>
      <c r="D48">
        <v>150</v>
      </c>
      <c r="E48" t="s">
        <v>155</v>
      </c>
      <c r="F48">
        <v>8.5</v>
      </c>
      <c r="G48">
        <v>1012734</v>
      </c>
      <c r="H48">
        <v>47</v>
      </c>
      <c r="I48" t="s">
        <v>35</v>
      </c>
      <c r="J48" t="s">
        <v>27</v>
      </c>
      <c r="K48" t="s">
        <v>16</v>
      </c>
      <c r="L48">
        <v>1.01</v>
      </c>
      <c r="M48" t="str">
        <f>IF(Table1[[#This Row],[votes]]&gt;500000,"Yes","No")</f>
        <v>Yes</v>
      </c>
      <c r="N48" t="str">
        <f>IF(Table1[[#This Row],[year]]&lt;1980, "Classic", "Modern")</f>
        <v>Modern</v>
      </c>
    </row>
    <row r="49" spans="1:14" x14ac:dyDescent="0.35">
      <c r="A49" t="s">
        <v>156</v>
      </c>
      <c r="B49" t="s">
        <v>157</v>
      </c>
      <c r="C49">
        <v>1960</v>
      </c>
      <c r="D49">
        <v>109</v>
      </c>
      <c r="E49" t="s">
        <v>158</v>
      </c>
      <c r="F49">
        <v>8.5</v>
      </c>
      <c r="G49">
        <v>785510</v>
      </c>
      <c r="H49">
        <v>48</v>
      </c>
      <c r="I49" t="s">
        <v>14</v>
      </c>
      <c r="J49" t="s">
        <v>61</v>
      </c>
      <c r="K49" t="s">
        <v>16</v>
      </c>
      <c r="L49">
        <v>0.79</v>
      </c>
      <c r="M49" t="str">
        <f>IF(Table1[[#This Row],[votes]]&gt;500000,"Yes","No")</f>
        <v>Yes</v>
      </c>
      <c r="N49" t="str">
        <f>IF(Table1[[#This Row],[year]]&lt;1980, "Classic", "Modern")</f>
        <v>Classic</v>
      </c>
    </row>
    <row r="50" spans="1:14" x14ac:dyDescent="0.35">
      <c r="A50" t="s">
        <v>159</v>
      </c>
      <c r="B50" t="s">
        <v>160</v>
      </c>
      <c r="C50">
        <v>1942</v>
      </c>
      <c r="D50">
        <v>102</v>
      </c>
      <c r="E50" t="s">
        <v>161</v>
      </c>
      <c r="F50">
        <v>8.5</v>
      </c>
      <c r="G50">
        <v>655918</v>
      </c>
      <c r="H50">
        <v>49</v>
      </c>
      <c r="I50" t="s">
        <v>14</v>
      </c>
      <c r="J50" t="s">
        <v>109</v>
      </c>
      <c r="K50" t="s">
        <v>16</v>
      </c>
      <c r="L50">
        <v>0.66</v>
      </c>
      <c r="M50" t="str">
        <f>IF(Table1[[#This Row],[votes]]&gt;500000,"Yes","No")</f>
        <v>Yes</v>
      </c>
      <c r="N50" t="str">
        <f>IF(Table1[[#This Row],[year]]&lt;1980, "Classic", "Modern")</f>
        <v>Classic</v>
      </c>
    </row>
    <row r="51" spans="1:14" x14ac:dyDescent="0.35">
      <c r="A51" t="s">
        <v>162</v>
      </c>
      <c r="B51" t="s">
        <v>163</v>
      </c>
      <c r="C51">
        <v>2022</v>
      </c>
      <c r="D51">
        <v>170</v>
      </c>
      <c r="E51" t="s">
        <v>14</v>
      </c>
      <c r="F51">
        <v>8.5</v>
      </c>
      <c r="G51">
        <v>578990</v>
      </c>
      <c r="H51">
        <v>50</v>
      </c>
      <c r="I51" t="s">
        <v>14</v>
      </c>
      <c r="J51" t="s">
        <v>78</v>
      </c>
      <c r="K51" t="s">
        <v>22</v>
      </c>
      <c r="L51">
        <v>0.57999999999999996</v>
      </c>
      <c r="M51" t="str">
        <f>IF(Table1[[#This Row],[votes]]&gt;500000,"Yes","No")</f>
        <v>Yes</v>
      </c>
      <c r="N51" t="str">
        <f>IF(Table1[[#This Row],[year]]&lt;1980, "Classic", "Modern")</f>
        <v>Modern</v>
      </c>
    </row>
    <row r="52" spans="1:14" x14ac:dyDescent="0.35">
      <c r="A52" t="s">
        <v>164</v>
      </c>
      <c r="B52" t="s">
        <v>165</v>
      </c>
      <c r="C52">
        <v>2023</v>
      </c>
      <c r="D52">
        <v>140</v>
      </c>
      <c r="E52" t="s">
        <v>166</v>
      </c>
      <c r="F52">
        <v>8.5</v>
      </c>
      <c r="G52">
        <v>524515</v>
      </c>
      <c r="H52">
        <v>51</v>
      </c>
      <c r="I52" t="s">
        <v>26</v>
      </c>
      <c r="J52" t="s">
        <v>78</v>
      </c>
      <c r="K52" t="s">
        <v>16</v>
      </c>
      <c r="L52">
        <v>0.52</v>
      </c>
      <c r="M52" t="str">
        <f>IF(Table1[[#This Row],[votes]]&gt;500000,"Yes","No")</f>
        <v>Yes</v>
      </c>
      <c r="N52" t="str">
        <f>IF(Table1[[#This Row],[year]]&lt;1980, "Classic", "Modern")</f>
        <v>Modern</v>
      </c>
    </row>
    <row r="53" spans="1:14" x14ac:dyDescent="0.35">
      <c r="A53" t="s">
        <v>167</v>
      </c>
      <c r="B53" t="s">
        <v>168</v>
      </c>
      <c r="C53">
        <v>1988</v>
      </c>
      <c r="D53">
        <v>88</v>
      </c>
      <c r="E53" t="s">
        <v>169</v>
      </c>
      <c r="F53">
        <v>8.5</v>
      </c>
      <c r="G53">
        <v>385658</v>
      </c>
      <c r="H53">
        <v>52</v>
      </c>
      <c r="I53" t="s">
        <v>170</v>
      </c>
      <c r="J53" t="s">
        <v>71</v>
      </c>
      <c r="K53" t="s">
        <v>41</v>
      </c>
      <c r="L53">
        <v>0.39</v>
      </c>
      <c r="M53" t="str">
        <f>IF(Table1[[#This Row],[votes]]&gt;500000,"Yes","No")</f>
        <v>No</v>
      </c>
      <c r="N53" t="str">
        <f>IF(Table1[[#This Row],[year]]&lt;1980, "Classic", "Modern")</f>
        <v>Modern</v>
      </c>
    </row>
    <row r="54" spans="1:14" x14ac:dyDescent="0.35">
      <c r="A54" t="s">
        <v>171</v>
      </c>
      <c r="B54" t="s">
        <v>172</v>
      </c>
      <c r="C54">
        <v>1968</v>
      </c>
      <c r="D54">
        <v>145</v>
      </c>
      <c r="E54" t="s">
        <v>119</v>
      </c>
      <c r="F54">
        <v>8.5</v>
      </c>
      <c r="G54">
        <v>384346</v>
      </c>
      <c r="H54">
        <v>53</v>
      </c>
      <c r="I54" t="s">
        <v>14</v>
      </c>
      <c r="J54" t="s">
        <v>61</v>
      </c>
      <c r="K54" t="s">
        <v>16</v>
      </c>
      <c r="L54">
        <v>0.38</v>
      </c>
      <c r="M54" t="str">
        <f>IF(Table1[[#This Row],[votes]]&gt;500000,"Yes","No")</f>
        <v>No</v>
      </c>
      <c r="N54" t="str">
        <f>IF(Table1[[#This Row],[year]]&lt;1980, "Classic", "Modern")</f>
        <v>Classic</v>
      </c>
    </row>
    <row r="55" spans="1:14" x14ac:dyDescent="0.35">
      <c r="A55" t="s">
        <v>173</v>
      </c>
      <c r="B55" t="s">
        <v>174</v>
      </c>
      <c r="C55">
        <v>1988</v>
      </c>
      <c r="D55">
        <v>174</v>
      </c>
      <c r="E55" t="s">
        <v>53</v>
      </c>
      <c r="F55">
        <v>8.5</v>
      </c>
      <c r="G55">
        <v>317777</v>
      </c>
      <c r="H55">
        <v>54</v>
      </c>
      <c r="I55" t="s">
        <v>14</v>
      </c>
      <c r="J55" t="s">
        <v>71</v>
      </c>
      <c r="K55" t="s">
        <v>22</v>
      </c>
      <c r="L55">
        <v>0.32</v>
      </c>
      <c r="M55" t="str">
        <f>IF(Table1[[#This Row],[votes]]&gt;500000,"Yes","No")</f>
        <v>No</v>
      </c>
      <c r="N55" t="str">
        <f>IF(Table1[[#This Row],[year]]&lt;1980, "Classic", "Modern")</f>
        <v>Modern</v>
      </c>
    </row>
    <row r="56" spans="1:14" x14ac:dyDescent="0.35">
      <c r="A56" t="s">
        <v>175</v>
      </c>
      <c r="B56" t="s">
        <v>176</v>
      </c>
      <c r="C56">
        <v>1936</v>
      </c>
      <c r="D56">
        <v>87</v>
      </c>
      <c r="E56" t="s">
        <v>104</v>
      </c>
      <c r="F56">
        <v>8.5</v>
      </c>
      <c r="G56">
        <v>285341</v>
      </c>
      <c r="H56">
        <v>55</v>
      </c>
      <c r="I56" t="s">
        <v>105</v>
      </c>
      <c r="J56" t="s">
        <v>177</v>
      </c>
      <c r="K56" t="s">
        <v>41</v>
      </c>
      <c r="L56">
        <v>0.28999999999999998</v>
      </c>
      <c r="M56" t="str">
        <f>IF(Table1[[#This Row],[votes]]&gt;500000,"Yes","No")</f>
        <v>No</v>
      </c>
      <c r="N56" t="str">
        <f>IF(Table1[[#This Row],[year]]&lt;1980, "Classic", "Modern")</f>
        <v>Classic</v>
      </c>
    </row>
    <row r="57" spans="1:14" x14ac:dyDescent="0.35">
      <c r="A57" t="s">
        <v>178</v>
      </c>
      <c r="B57" t="s">
        <v>179</v>
      </c>
      <c r="C57">
        <v>1931</v>
      </c>
      <c r="D57">
        <v>87</v>
      </c>
      <c r="E57" t="s">
        <v>104</v>
      </c>
      <c r="F57">
        <v>8.5</v>
      </c>
      <c r="G57">
        <v>216510</v>
      </c>
      <c r="H57">
        <v>56</v>
      </c>
      <c r="I57" t="s">
        <v>105</v>
      </c>
      <c r="J57" t="s">
        <v>177</v>
      </c>
      <c r="K57" t="s">
        <v>41</v>
      </c>
      <c r="L57">
        <v>0.22</v>
      </c>
      <c r="M57" t="str">
        <f>IF(Table1[[#This Row],[votes]]&gt;500000,"Yes","No")</f>
        <v>No</v>
      </c>
      <c r="N57" t="str">
        <f>IF(Table1[[#This Row],[year]]&lt;1980, "Classic", "Modern")</f>
        <v>Classic</v>
      </c>
    </row>
    <row r="58" spans="1:14" x14ac:dyDescent="0.35">
      <c r="A58" t="s">
        <v>180</v>
      </c>
      <c r="B58" t="s">
        <v>181</v>
      </c>
      <c r="C58">
        <v>2012</v>
      </c>
      <c r="D58">
        <v>164</v>
      </c>
      <c r="E58" t="s">
        <v>25</v>
      </c>
      <c r="F58">
        <v>8.4</v>
      </c>
      <c r="G58">
        <v>1994675</v>
      </c>
      <c r="H58">
        <v>57</v>
      </c>
      <c r="I58" t="s">
        <v>26</v>
      </c>
      <c r="J58" t="s">
        <v>47</v>
      </c>
      <c r="K58" t="s">
        <v>22</v>
      </c>
      <c r="L58">
        <v>1.99</v>
      </c>
      <c r="M58" t="str">
        <f>IF(Table1[[#This Row],[votes]]&gt;500000,"Yes","No")</f>
        <v>Yes</v>
      </c>
      <c r="N58" t="str">
        <f>IF(Table1[[#This Row],[year]]&lt;1980, "Classic", "Modern")</f>
        <v>Modern</v>
      </c>
    </row>
    <row r="59" spans="1:14" x14ac:dyDescent="0.35">
      <c r="A59" t="s">
        <v>182</v>
      </c>
      <c r="B59" t="s">
        <v>183</v>
      </c>
      <c r="C59">
        <v>2009</v>
      </c>
      <c r="D59">
        <v>153</v>
      </c>
      <c r="E59" t="s">
        <v>184</v>
      </c>
      <c r="F59">
        <v>8.4</v>
      </c>
      <c r="G59">
        <v>1783866</v>
      </c>
      <c r="H59">
        <v>58</v>
      </c>
      <c r="I59" t="s">
        <v>31</v>
      </c>
      <c r="J59" t="s">
        <v>27</v>
      </c>
      <c r="K59" t="s">
        <v>22</v>
      </c>
      <c r="L59">
        <v>1.78</v>
      </c>
      <c r="M59" t="str">
        <f>IF(Table1[[#This Row],[votes]]&gt;500000,"Yes","No")</f>
        <v>Yes</v>
      </c>
      <c r="N59" t="str">
        <f>IF(Table1[[#This Row],[year]]&lt;1980, "Classic", "Modern")</f>
        <v>Modern</v>
      </c>
    </row>
    <row r="60" spans="1:14" x14ac:dyDescent="0.35">
      <c r="A60" t="s">
        <v>185</v>
      </c>
      <c r="B60" t="s">
        <v>186</v>
      </c>
      <c r="C60">
        <v>2019</v>
      </c>
      <c r="D60">
        <v>181</v>
      </c>
      <c r="E60" t="s">
        <v>46</v>
      </c>
      <c r="F60">
        <v>8.4</v>
      </c>
      <c r="G60">
        <v>1447070</v>
      </c>
      <c r="H60">
        <v>59</v>
      </c>
      <c r="I60" t="s">
        <v>26</v>
      </c>
      <c r="J60" t="s">
        <v>47</v>
      </c>
      <c r="K60" t="s">
        <v>22</v>
      </c>
      <c r="L60">
        <v>1.45</v>
      </c>
      <c r="M60" t="str">
        <f>IF(Table1[[#This Row],[votes]]&gt;500000,"Yes","No")</f>
        <v>Yes</v>
      </c>
      <c r="N60" t="str">
        <f>IF(Table1[[#This Row],[year]]&lt;1980, "Classic", "Modern")</f>
        <v>Modern</v>
      </c>
    </row>
    <row r="61" spans="1:14" x14ac:dyDescent="0.35">
      <c r="A61" t="s">
        <v>187</v>
      </c>
      <c r="B61" t="s">
        <v>188</v>
      </c>
      <c r="C61">
        <v>2000</v>
      </c>
      <c r="D61">
        <v>113</v>
      </c>
      <c r="E61" t="s">
        <v>189</v>
      </c>
      <c r="F61">
        <v>8.4</v>
      </c>
      <c r="G61">
        <v>1435593</v>
      </c>
      <c r="H61">
        <v>60</v>
      </c>
      <c r="I61" t="s">
        <v>14</v>
      </c>
      <c r="J61" t="s">
        <v>27</v>
      </c>
      <c r="K61" t="s">
        <v>16</v>
      </c>
      <c r="L61">
        <v>1.44</v>
      </c>
      <c r="M61" t="str">
        <f>IF(Table1[[#This Row],[votes]]&gt;500000,"Yes","No")</f>
        <v>Yes</v>
      </c>
      <c r="N61" t="str">
        <f>IF(Table1[[#This Row],[year]]&lt;1980, "Classic", "Modern")</f>
        <v>Modern</v>
      </c>
    </row>
    <row r="62" spans="1:14" x14ac:dyDescent="0.35">
      <c r="A62" t="s">
        <v>190</v>
      </c>
      <c r="B62" t="s">
        <v>191</v>
      </c>
      <c r="C62">
        <v>2018</v>
      </c>
      <c r="D62">
        <v>149</v>
      </c>
      <c r="E62" t="s">
        <v>46</v>
      </c>
      <c r="F62">
        <v>8.4</v>
      </c>
      <c r="G62">
        <v>1372533</v>
      </c>
      <c r="H62">
        <v>61</v>
      </c>
      <c r="I62" t="s">
        <v>26</v>
      </c>
      <c r="J62" t="s">
        <v>47</v>
      </c>
      <c r="K62" t="s">
        <v>16</v>
      </c>
      <c r="L62">
        <v>1.37</v>
      </c>
      <c r="M62" t="str">
        <f>IF(Table1[[#This Row],[votes]]&gt;500000,"Yes","No")</f>
        <v>Yes</v>
      </c>
      <c r="N62" t="str">
        <f>IF(Table1[[#This Row],[year]]&lt;1980, "Classic", "Modern")</f>
        <v>Modern</v>
      </c>
    </row>
    <row r="63" spans="1:14" x14ac:dyDescent="0.35">
      <c r="A63" t="s">
        <v>192</v>
      </c>
      <c r="B63" t="s">
        <v>193</v>
      </c>
      <c r="C63">
        <v>2008</v>
      </c>
      <c r="D63">
        <v>98</v>
      </c>
      <c r="E63" t="s">
        <v>99</v>
      </c>
      <c r="F63">
        <v>8.4</v>
      </c>
      <c r="G63">
        <v>1321292</v>
      </c>
      <c r="H63">
        <v>62</v>
      </c>
      <c r="I63" t="s">
        <v>31</v>
      </c>
      <c r="J63" t="s">
        <v>27</v>
      </c>
      <c r="K63" t="s">
        <v>41</v>
      </c>
      <c r="L63">
        <v>1.32</v>
      </c>
      <c r="M63" t="str">
        <f>IF(Table1[[#This Row],[votes]]&gt;500000,"Yes","No")</f>
        <v>Yes</v>
      </c>
      <c r="N63" t="str">
        <f>IF(Table1[[#This Row],[year]]&lt;1980, "Classic", "Modern")</f>
        <v>Modern</v>
      </c>
    </row>
    <row r="64" spans="1:14" x14ac:dyDescent="0.35">
      <c r="A64" t="s">
        <v>194</v>
      </c>
      <c r="B64" t="s">
        <v>195</v>
      </c>
      <c r="C64">
        <v>1980</v>
      </c>
      <c r="D64">
        <v>146</v>
      </c>
      <c r="E64" t="s">
        <v>196</v>
      </c>
      <c r="F64">
        <v>8.4</v>
      </c>
      <c r="G64">
        <v>1225869</v>
      </c>
      <c r="H64">
        <v>63</v>
      </c>
      <c r="I64" t="s">
        <v>14</v>
      </c>
      <c r="J64" t="s">
        <v>71</v>
      </c>
      <c r="K64" t="s">
        <v>16</v>
      </c>
      <c r="L64">
        <v>1.23</v>
      </c>
      <c r="M64" t="str">
        <f>IF(Table1[[#This Row],[votes]]&gt;500000,"Yes","No")</f>
        <v>Yes</v>
      </c>
      <c r="N64" t="str">
        <f>IF(Table1[[#This Row],[year]]&lt;1980, "Classic", "Modern")</f>
        <v>Modern</v>
      </c>
    </row>
    <row r="65" spans="1:14" x14ac:dyDescent="0.35">
      <c r="A65" t="s">
        <v>197</v>
      </c>
      <c r="B65" t="s">
        <v>198</v>
      </c>
      <c r="C65">
        <v>1997</v>
      </c>
      <c r="D65">
        <v>126</v>
      </c>
      <c r="E65" t="s">
        <v>53</v>
      </c>
      <c r="F65">
        <v>8.4</v>
      </c>
      <c r="G65">
        <v>1217550</v>
      </c>
      <c r="H65">
        <v>64</v>
      </c>
      <c r="I65" t="s">
        <v>14</v>
      </c>
      <c r="J65" t="s">
        <v>15</v>
      </c>
      <c r="K65" t="s">
        <v>16</v>
      </c>
      <c r="L65">
        <v>1.22</v>
      </c>
      <c r="M65" t="str">
        <f>IF(Table1[[#This Row],[votes]]&gt;500000,"Yes","No")</f>
        <v>Yes</v>
      </c>
      <c r="N65" t="str">
        <f>IF(Table1[[#This Row],[year]]&lt;1980, "Classic", "Modern")</f>
        <v>Modern</v>
      </c>
    </row>
    <row r="66" spans="1:14" x14ac:dyDescent="0.35">
      <c r="A66" t="s">
        <v>199</v>
      </c>
      <c r="B66" t="s">
        <v>200</v>
      </c>
      <c r="C66">
        <v>1981</v>
      </c>
      <c r="D66">
        <v>115</v>
      </c>
      <c r="E66" t="s">
        <v>201</v>
      </c>
      <c r="F66">
        <v>8.4</v>
      </c>
      <c r="G66">
        <v>1110633</v>
      </c>
      <c r="H66">
        <v>65</v>
      </c>
      <c r="I66" t="s">
        <v>26</v>
      </c>
      <c r="J66" t="s">
        <v>71</v>
      </c>
      <c r="K66" t="s">
        <v>16</v>
      </c>
      <c r="L66">
        <v>1.1100000000000001</v>
      </c>
      <c r="M66" t="str">
        <f>IF(Table1[[#This Row],[votes]]&gt;500000,"Yes","No")</f>
        <v>Yes</v>
      </c>
      <c r="N66" t="str">
        <f>IF(Table1[[#This Row],[year]]&lt;1980, "Classic", "Modern")</f>
        <v>Modern</v>
      </c>
    </row>
    <row r="67" spans="1:14" x14ac:dyDescent="0.35">
      <c r="A67" t="s">
        <v>202</v>
      </c>
      <c r="B67" t="s">
        <v>203</v>
      </c>
      <c r="C67">
        <v>1986</v>
      </c>
      <c r="D67">
        <v>137</v>
      </c>
      <c r="E67" t="s">
        <v>204</v>
      </c>
      <c r="F67">
        <v>8.4</v>
      </c>
      <c r="G67">
        <v>841005</v>
      </c>
      <c r="H67">
        <v>66</v>
      </c>
      <c r="I67" t="s">
        <v>26</v>
      </c>
      <c r="J67" t="s">
        <v>71</v>
      </c>
      <c r="K67" t="s">
        <v>16</v>
      </c>
      <c r="L67">
        <v>0.84</v>
      </c>
      <c r="M67" t="str">
        <f>IF(Table1[[#This Row],[votes]]&gt;500000,"Yes","No")</f>
        <v>Yes</v>
      </c>
      <c r="N67" t="str">
        <f>IF(Table1[[#This Row],[year]]&lt;1980, "Classic", "Modern")</f>
        <v>Modern</v>
      </c>
    </row>
    <row r="68" spans="1:14" x14ac:dyDescent="0.35">
      <c r="A68" t="s">
        <v>205</v>
      </c>
      <c r="B68" t="s">
        <v>206</v>
      </c>
      <c r="C68">
        <v>2018</v>
      </c>
      <c r="D68">
        <v>117</v>
      </c>
      <c r="E68" t="s">
        <v>166</v>
      </c>
      <c r="F68">
        <v>8.4</v>
      </c>
      <c r="G68">
        <v>789530</v>
      </c>
      <c r="H68">
        <v>67</v>
      </c>
      <c r="I68" t="s">
        <v>26</v>
      </c>
      <c r="J68" t="s">
        <v>47</v>
      </c>
      <c r="K68" t="s">
        <v>16</v>
      </c>
      <c r="L68">
        <v>0.79</v>
      </c>
      <c r="M68" t="str">
        <f>IF(Table1[[#This Row],[votes]]&gt;500000,"Yes","No")</f>
        <v>Yes</v>
      </c>
      <c r="N68" t="str">
        <f>IF(Table1[[#This Row],[year]]&lt;1980, "Classic", "Modern")</f>
        <v>Modern</v>
      </c>
    </row>
    <row r="69" spans="1:14" x14ac:dyDescent="0.35">
      <c r="A69" t="s">
        <v>207</v>
      </c>
      <c r="B69" t="s">
        <v>208</v>
      </c>
      <c r="C69">
        <v>1979</v>
      </c>
      <c r="D69">
        <v>147</v>
      </c>
      <c r="E69" t="s">
        <v>209</v>
      </c>
      <c r="F69">
        <v>8.4</v>
      </c>
      <c r="G69">
        <v>770471</v>
      </c>
      <c r="H69">
        <v>68</v>
      </c>
      <c r="I69" t="s">
        <v>14</v>
      </c>
      <c r="J69" t="s">
        <v>21</v>
      </c>
      <c r="K69" t="s">
        <v>16</v>
      </c>
      <c r="L69">
        <v>0.77</v>
      </c>
      <c r="M69" t="str">
        <f>IF(Table1[[#This Row],[votes]]&gt;500000,"Yes","No")</f>
        <v>Yes</v>
      </c>
      <c r="N69" t="str">
        <f>IF(Table1[[#This Row],[year]]&lt;1980, "Classic", "Modern")</f>
        <v>Classic</v>
      </c>
    </row>
    <row r="70" spans="1:14" x14ac:dyDescent="0.35">
      <c r="A70" t="s">
        <v>210</v>
      </c>
      <c r="B70" t="s">
        <v>211</v>
      </c>
      <c r="C70">
        <v>2024</v>
      </c>
      <c r="D70">
        <v>166</v>
      </c>
      <c r="E70" t="s">
        <v>122</v>
      </c>
      <c r="F70">
        <v>8.4</v>
      </c>
      <c r="G70">
        <v>746896</v>
      </c>
      <c r="H70">
        <v>69</v>
      </c>
      <c r="I70" t="s">
        <v>26</v>
      </c>
      <c r="J70" t="s">
        <v>78</v>
      </c>
      <c r="K70" t="s">
        <v>22</v>
      </c>
      <c r="L70">
        <v>0.75</v>
      </c>
      <c r="M70" t="str">
        <f>IF(Table1[[#This Row],[votes]]&gt;500000,"Yes","No")</f>
        <v>Yes</v>
      </c>
      <c r="N70" t="str">
        <f>IF(Table1[[#This Row],[year]]&lt;1980, "Classic", "Modern")</f>
        <v>Modern</v>
      </c>
    </row>
    <row r="71" spans="1:14" x14ac:dyDescent="0.35">
      <c r="A71" t="s">
        <v>212</v>
      </c>
      <c r="B71" t="s">
        <v>213</v>
      </c>
      <c r="C71">
        <v>2017</v>
      </c>
      <c r="D71">
        <v>105</v>
      </c>
      <c r="E71" t="s">
        <v>137</v>
      </c>
      <c r="F71">
        <v>8.4</v>
      </c>
      <c r="G71">
        <v>707654</v>
      </c>
      <c r="H71">
        <v>70</v>
      </c>
      <c r="I71" t="s">
        <v>31</v>
      </c>
      <c r="J71" t="s">
        <v>47</v>
      </c>
      <c r="K71" t="s">
        <v>16</v>
      </c>
      <c r="L71">
        <v>0.71</v>
      </c>
      <c r="M71" t="str">
        <f>IF(Table1[[#This Row],[votes]]&gt;500000,"Yes","No")</f>
        <v>Yes</v>
      </c>
      <c r="N71" t="str">
        <f>IF(Table1[[#This Row],[year]]&lt;1980, "Classic", "Modern")</f>
        <v>Modern</v>
      </c>
    </row>
    <row r="72" spans="1:14" x14ac:dyDescent="0.35">
      <c r="A72" t="s">
        <v>214</v>
      </c>
      <c r="B72" t="s">
        <v>215</v>
      </c>
      <c r="C72">
        <v>1954</v>
      </c>
      <c r="D72">
        <v>112</v>
      </c>
      <c r="E72" t="s">
        <v>189</v>
      </c>
      <c r="F72">
        <v>8.4</v>
      </c>
      <c r="G72">
        <v>569513</v>
      </c>
      <c r="H72">
        <v>71</v>
      </c>
      <c r="I72" t="s">
        <v>14</v>
      </c>
      <c r="J72" t="s">
        <v>40</v>
      </c>
      <c r="K72" t="s">
        <v>16</v>
      </c>
      <c r="L72">
        <v>0.56999999999999995</v>
      </c>
      <c r="M72" t="str">
        <f>IF(Table1[[#This Row],[votes]]&gt;500000,"Yes","No")</f>
        <v>Yes</v>
      </c>
      <c r="N72" t="str">
        <f>IF(Table1[[#This Row],[year]]&lt;1980, "Classic", "Modern")</f>
        <v>Classic</v>
      </c>
    </row>
    <row r="73" spans="1:14" x14ac:dyDescent="0.35">
      <c r="A73" t="s">
        <v>216</v>
      </c>
      <c r="B73" t="s">
        <v>217</v>
      </c>
      <c r="C73">
        <v>2009</v>
      </c>
      <c r="D73">
        <v>170</v>
      </c>
      <c r="E73" t="s">
        <v>152</v>
      </c>
      <c r="F73">
        <v>8.4</v>
      </c>
      <c r="G73">
        <v>482290</v>
      </c>
      <c r="H73">
        <v>72</v>
      </c>
      <c r="I73" t="s">
        <v>105</v>
      </c>
      <c r="J73" t="s">
        <v>27</v>
      </c>
      <c r="K73" t="s">
        <v>22</v>
      </c>
      <c r="L73">
        <v>0.48</v>
      </c>
      <c r="M73" t="str">
        <f>IF(Table1[[#This Row],[votes]]&gt;500000,"Yes","No")</f>
        <v>No</v>
      </c>
      <c r="N73" t="str">
        <f>IF(Table1[[#This Row],[year]]&lt;1980, "Classic", "Modern")</f>
        <v>Modern</v>
      </c>
    </row>
    <row r="74" spans="1:14" x14ac:dyDescent="0.35">
      <c r="A74" t="s">
        <v>218</v>
      </c>
      <c r="B74" t="s">
        <v>219</v>
      </c>
      <c r="C74">
        <v>1984</v>
      </c>
      <c r="D74">
        <v>160</v>
      </c>
      <c r="E74" t="s">
        <v>155</v>
      </c>
      <c r="F74">
        <v>8.4</v>
      </c>
      <c r="G74">
        <v>468255</v>
      </c>
      <c r="H74">
        <v>73</v>
      </c>
      <c r="I74" t="s">
        <v>35</v>
      </c>
      <c r="J74" t="s">
        <v>71</v>
      </c>
      <c r="K74" t="s">
        <v>22</v>
      </c>
      <c r="L74">
        <v>0.47</v>
      </c>
      <c r="M74" t="str">
        <f>IF(Table1[[#This Row],[votes]]&gt;500000,"Yes","No")</f>
        <v>No</v>
      </c>
      <c r="N74" t="str">
        <f>IF(Table1[[#This Row],[year]]&lt;1980, "Classic", "Modern")</f>
        <v>Modern</v>
      </c>
    </row>
    <row r="75" spans="1:14" x14ac:dyDescent="0.35">
      <c r="A75" t="s">
        <v>220</v>
      </c>
      <c r="B75" t="s">
        <v>221</v>
      </c>
      <c r="C75">
        <v>2006</v>
      </c>
      <c r="D75">
        <v>137</v>
      </c>
      <c r="E75" t="s">
        <v>189</v>
      </c>
      <c r="F75">
        <v>8.4</v>
      </c>
      <c r="G75">
        <v>443346</v>
      </c>
      <c r="H75">
        <v>74</v>
      </c>
      <c r="I75" t="s">
        <v>14</v>
      </c>
      <c r="J75" t="s">
        <v>27</v>
      </c>
      <c r="K75" t="s">
        <v>16</v>
      </c>
      <c r="L75">
        <v>0.44</v>
      </c>
      <c r="M75" t="str">
        <f>IF(Table1[[#This Row],[votes]]&gt;500000,"Yes","No")</f>
        <v>No</v>
      </c>
      <c r="N75" t="str">
        <f>IF(Table1[[#This Row],[year]]&lt;1980, "Classic", "Modern")</f>
        <v>Modern</v>
      </c>
    </row>
    <row r="76" spans="1:14" x14ac:dyDescent="0.35">
      <c r="A76" t="s">
        <v>222</v>
      </c>
      <c r="B76" t="s">
        <v>223</v>
      </c>
      <c r="C76">
        <v>2016</v>
      </c>
      <c r="D76">
        <v>106</v>
      </c>
      <c r="E76" t="s">
        <v>224</v>
      </c>
      <c r="F76">
        <v>8.4</v>
      </c>
      <c r="G76">
        <v>392684</v>
      </c>
      <c r="H76">
        <v>75</v>
      </c>
      <c r="I76" t="s">
        <v>170</v>
      </c>
      <c r="J76" t="s">
        <v>47</v>
      </c>
      <c r="K76" t="s">
        <v>16</v>
      </c>
      <c r="L76">
        <v>0.39</v>
      </c>
      <c r="M76" t="str">
        <f>IF(Table1[[#This Row],[votes]]&gt;500000,"Yes","No")</f>
        <v>No</v>
      </c>
      <c r="N76" t="str">
        <f>IF(Table1[[#This Row],[year]]&lt;1980, "Classic", "Modern")</f>
        <v>Modern</v>
      </c>
    </row>
    <row r="77" spans="1:14" x14ac:dyDescent="0.35">
      <c r="A77" t="s">
        <v>225</v>
      </c>
      <c r="B77" t="s">
        <v>226</v>
      </c>
      <c r="C77">
        <v>1950</v>
      </c>
      <c r="D77">
        <v>110</v>
      </c>
      <c r="E77" t="s">
        <v>227</v>
      </c>
      <c r="F77">
        <v>8.4</v>
      </c>
      <c r="G77">
        <v>261296</v>
      </c>
      <c r="H77">
        <v>76</v>
      </c>
      <c r="I77" t="s">
        <v>14</v>
      </c>
      <c r="J77" t="s">
        <v>40</v>
      </c>
      <c r="K77" t="s">
        <v>16</v>
      </c>
      <c r="L77">
        <v>0.26</v>
      </c>
      <c r="M77" t="str">
        <f>IF(Table1[[#This Row],[votes]]&gt;500000,"Yes","No")</f>
        <v>No</v>
      </c>
      <c r="N77" t="str">
        <f>IF(Table1[[#This Row],[year]]&lt;1980, "Classic", "Modern")</f>
        <v>Classic</v>
      </c>
    </row>
    <row r="78" spans="1:14" x14ac:dyDescent="0.35">
      <c r="A78" t="s">
        <v>228</v>
      </c>
      <c r="B78" t="s">
        <v>229</v>
      </c>
      <c r="C78">
        <v>1940</v>
      </c>
      <c r="D78">
        <v>125</v>
      </c>
      <c r="E78" t="s">
        <v>230</v>
      </c>
      <c r="F78">
        <v>8.4</v>
      </c>
      <c r="G78">
        <v>259563</v>
      </c>
      <c r="H78">
        <v>77</v>
      </c>
      <c r="I78" t="s">
        <v>105</v>
      </c>
      <c r="J78" t="s">
        <v>109</v>
      </c>
      <c r="K78" t="s">
        <v>16</v>
      </c>
      <c r="L78">
        <v>0.26</v>
      </c>
      <c r="M78" t="str">
        <f>IF(Table1[[#This Row],[votes]]&gt;500000,"Yes","No")</f>
        <v>No</v>
      </c>
      <c r="N78" t="str">
        <f>IF(Table1[[#This Row],[year]]&lt;1980, "Classic", "Modern")</f>
        <v>Classic</v>
      </c>
    </row>
    <row r="79" spans="1:14" x14ac:dyDescent="0.35">
      <c r="A79" t="s">
        <v>231</v>
      </c>
      <c r="B79" t="s">
        <v>232</v>
      </c>
      <c r="C79">
        <v>1957</v>
      </c>
      <c r="D79">
        <v>88</v>
      </c>
      <c r="E79" t="s">
        <v>87</v>
      </c>
      <c r="F79">
        <v>8.4</v>
      </c>
      <c r="G79">
        <v>238923</v>
      </c>
      <c r="H79">
        <v>78</v>
      </c>
      <c r="I79" t="s">
        <v>14</v>
      </c>
      <c r="J79" t="s">
        <v>40</v>
      </c>
      <c r="K79" t="s">
        <v>41</v>
      </c>
      <c r="L79">
        <v>0.24</v>
      </c>
      <c r="M79" t="str">
        <f>IF(Table1[[#This Row],[votes]]&gt;500000,"Yes","No")</f>
        <v>No</v>
      </c>
      <c r="N79" t="str">
        <f>IF(Table1[[#This Row],[year]]&lt;1980, "Classic", "Modern")</f>
        <v>Classic</v>
      </c>
    </row>
    <row r="80" spans="1:14" x14ac:dyDescent="0.35">
      <c r="A80" t="s">
        <v>233</v>
      </c>
      <c r="B80" t="s">
        <v>234</v>
      </c>
      <c r="C80">
        <v>1957</v>
      </c>
      <c r="D80">
        <v>116</v>
      </c>
      <c r="E80" t="s">
        <v>81</v>
      </c>
      <c r="F80">
        <v>8.4</v>
      </c>
      <c r="G80">
        <v>162277</v>
      </c>
      <c r="H80">
        <v>79</v>
      </c>
      <c r="I80" t="s">
        <v>20</v>
      </c>
      <c r="J80" t="s">
        <v>40</v>
      </c>
      <c r="K80" t="s">
        <v>16</v>
      </c>
      <c r="L80">
        <v>0.16</v>
      </c>
      <c r="M80" t="str">
        <f>IF(Table1[[#This Row],[votes]]&gt;500000,"Yes","No")</f>
        <v>No</v>
      </c>
      <c r="N80" t="str">
        <f>IF(Table1[[#This Row],[year]]&lt;1980, "Classic", "Modern")</f>
        <v>Classic</v>
      </c>
    </row>
    <row r="81" spans="1:14" x14ac:dyDescent="0.35">
      <c r="A81" t="s">
        <v>235</v>
      </c>
      <c r="B81" t="s">
        <v>236</v>
      </c>
      <c r="C81">
        <v>2018</v>
      </c>
      <c r="D81">
        <v>126</v>
      </c>
      <c r="E81" t="s">
        <v>14</v>
      </c>
      <c r="F81">
        <v>8.4</v>
      </c>
      <c r="G81">
        <v>124319</v>
      </c>
      <c r="H81">
        <v>80</v>
      </c>
      <c r="I81" t="s">
        <v>14</v>
      </c>
      <c r="J81" t="s">
        <v>47</v>
      </c>
      <c r="K81" t="s">
        <v>16</v>
      </c>
      <c r="L81">
        <v>0.12</v>
      </c>
      <c r="M81" t="str">
        <f>IF(Table1[[#This Row],[votes]]&gt;500000,"Yes","No")</f>
        <v>No</v>
      </c>
      <c r="N81" t="str">
        <f>IF(Table1[[#This Row],[year]]&lt;1980, "Classic", "Modern")</f>
        <v>Modern</v>
      </c>
    </row>
    <row r="82" spans="1:14" x14ac:dyDescent="0.35">
      <c r="A82" t="s">
        <v>237</v>
      </c>
      <c r="B82" t="s">
        <v>238</v>
      </c>
      <c r="C82">
        <v>2019</v>
      </c>
      <c r="D82">
        <v>122</v>
      </c>
      <c r="E82" t="s">
        <v>50</v>
      </c>
      <c r="F82">
        <v>8.3000000000000007</v>
      </c>
      <c r="G82">
        <v>1694265</v>
      </c>
      <c r="H82">
        <v>81</v>
      </c>
      <c r="I82" t="s">
        <v>20</v>
      </c>
      <c r="J82" t="s">
        <v>47</v>
      </c>
      <c r="K82" t="s">
        <v>16</v>
      </c>
      <c r="L82">
        <v>1.69</v>
      </c>
      <c r="M82" t="str">
        <f>IF(Table1[[#This Row],[votes]]&gt;500000,"Yes","No")</f>
        <v>Yes</v>
      </c>
      <c r="N82" t="str">
        <f>IF(Table1[[#This Row],[year]]&lt;1980, "Classic", "Modern")</f>
        <v>Modern</v>
      </c>
    </row>
    <row r="83" spans="1:14" x14ac:dyDescent="0.35">
      <c r="A83" t="s">
        <v>239</v>
      </c>
      <c r="B83" t="s">
        <v>240</v>
      </c>
      <c r="C83">
        <v>1999</v>
      </c>
      <c r="D83">
        <v>122</v>
      </c>
      <c r="E83" t="s">
        <v>14</v>
      </c>
      <c r="F83">
        <v>8.3000000000000007</v>
      </c>
      <c r="G83">
        <v>1280108</v>
      </c>
      <c r="H83">
        <v>82</v>
      </c>
      <c r="I83" t="s">
        <v>14</v>
      </c>
      <c r="J83" t="s">
        <v>15</v>
      </c>
      <c r="K83" t="s">
        <v>16</v>
      </c>
      <c r="L83">
        <v>1.28</v>
      </c>
      <c r="M83" t="str">
        <f>IF(Table1[[#This Row],[votes]]&gt;500000,"Yes","No")</f>
        <v>Yes</v>
      </c>
      <c r="N83" t="str">
        <f>IF(Table1[[#This Row],[year]]&lt;1980, "Classic", "Modern")</f>
        <v>Modern</v>
      </c>
    </row>
    <row r="84" spans="1:14" x14ac:dyDescent="0.35">
      <c r="A84" t="s">
        <v>241</v>
      </c>
      <c r="B84" t="s">
        <v>242</v>
      </c>
      <c r="C84">
        <v>2009</v>
      </c>
      <c r="D84">
        <v>96</v>
      </c>
      <c r="E84" t="s">
        <v>243</v>
      </c>
      <c r="F84">
        <v>8.3000000000000007</v>
      </c>
      <c r="G84">
        <v>1236319</v>
      </c>
      <c r="H84">
        <v>83</v>
      </c>
      <c r="I84" t="s">
        <v>31</v>
      </c>
      <c r="J84" t="s">
        <v>27</v>
      </c>
      <c r="K84" t="s">
        <v>41</v>
      </c>
      <c r="L84">
        <v>1.24</v>
      </c>
      <c r="M84" t="str">
        <f>IF(Table1[[#This Row],[votes]]&gt;500000,"Yes","No")</f>
        <v>Yes</v>
      </c>
      <c r="N84" t="str">
        <f>IF(Table1[[#This Row],[year]]&lt;1980, "Classic", "Modern")</f>
        <v>Modern</v>
      </c>
    </row>
    <row r="85" spans="1:14" x14ac:dyDescent="0.35">
      <c r="A85" t="s">
        <v>244</v>
      </c>
      <c r="B85" t="s">
        <v>245</v>
      </c>
      <c r="C85">
        <v>1983</v>
      </c>
      <c r="D85">
        <v>131</v>
      </c>
      <c r="E85" t="s">
        <v>70</v>
      </c>
      <c r="F85">
        <v>8.3000000000000007</v>
      </c>
      <c r="G85">
        <v>1210244</v>
      </c>
      <c r="H85">
        <v>84</v>
      </c>
      <c r="I85" t="s">
        <v>26</v>
      </c>
      <c r="J85" t="s">
        <v>71</v>
      </c>
      <c r="K85" t="s">
        <v>16</v>
      </c>
      <c r="L85">
        <v>1.21</v>
      </c>
      <c r="M85" t="str">
        <f>IF(Table1[[#This Row],[votes]]&gt;500000,"Yes","No")</f>
        <v>Yes</v>
      </c>
      <c r="N85" t="str">
        <f>IF(Table1[[#This Row],[year]]&lt;1980, "Classic", "Modern")</f>
        <v>Modern</v>
      </c>
    </row>
    <row r="86" spans="1:14" x14ac:dyDescent="0.35">
      <c r="A86" t="s">
        <v>246</v>
      </c>
      <c r="B86" t="s">
        <v>247</v>
      </c>
      <c r="C86">
        <v>2004</v>
      </c>
      <c r="D86">
        <v>108</v>
      </c>
      <c r="E86" t="s">
        <v>248</v>
      </c>
      <c r="F86">
        <v>8.3000000000000007</v>
      </c>
      <c r="G86">
        <v>1183182</v>
      </c>
      <c r="H86">
        <v>85</v>
      </c>
      <c r="I86" t="s">
        <v>14</v>
      </c>
      <c r="J86" t="s">
        <v>27</v>
      </c>
      <c r="K86" t="s">
        <v>16</v>
      </c>
      <c r="L86">
        <v>1.18</v>
      </c>
      <c r="M86" t="str">
        <f>IF(Table1[[#This Row],[votes]]&gt;500000,"Yes","No")</f>
        <v>Yes</v>
      </c>
      <c r="N86" t="str">
        <f>IF(Table1[[#This Row],[year]]&lt;1980, "Classic", "Modern")</f>
        <v>Modern</v>
      </c>
    </row>
    <row r="87" spans="1:14" x14ac:dyDescent="0.35">
      <c r="A87" t="s">
        <v>249</v>
      </c>
      <c r="B87" t="s">
        <v>250</v>
      </c>
      <c r="C87">
        <v>1995</v>
      </c>
      <c r="D87">
        <v>81</v>
      </c>
      <c r="E87" t="s">
        <v>243</v>
      </c>
      <c r="F87">
        <v>8.3000000000000007</v>
      </c>
      <c r="G87">
        <v>1174415</v>
      </c>
      <c r="H87">
        <v>86</v>
      </c>
      <c r="I87" t="s">
        <v>31</v>
      </c>
      <c r="J87" t="s">
        <v>15</v>
      </c>
      <c r="K87" t="s">
        <v>41</v>
      </c>
      <c r="L87">
        <v>1.17</v>
      </c>
      <c r="M87" t="str">
        <f>IF(Table1[[#This Row],[votes]]&gt;500000,"Yes","No")</f>
        <v>Yes</v>
      </c>
      <c r="N87" t="str">
        <f>IF(Table1[[#This Row],[year]]&lt;1980, "Classic", "Modern")</f>
        <v>Modern</v>
      </c>
    </row>
    <row r="88" spans="1:14" x14ac:dyDescent="0.35">
      <c r="A88" t="s">
        <v>251</v>
      </c>
      <c r="B88" t="s">
        <v>252</v>
      </c>
      <c r="C88">
        <v>1992</v>
      </c>
      <c r="D88">
        <v>99</v>
      </c>
      <c r="E88" t="s">
        <v>253</v>
      </c>
      <c r="F88">
        <v>8.3000000000000007</v>
      </c>
      <c r="G88">
        <v>1171145</v>
      </c>
      <c r="H88">
        <v>87</v>
      </c>
      <c r="I88" t="s">
        <v>20</v>
      </c>
      <c r="J88" t="s">
        <v>15</v>
      </c>
      <c r="K88" t="s">
        <v>41</v>
      </c>
      <c r="L88">
        <v>1.17</v>
      </c>
      <c r="M88" t="str">
        <f>IF(Table1[[#This Row],[votes]]&gt;500000,"Yes","No")</f>
        <v>Yes</v>
      </c>
      <c r="N88" t="str">
        <f>IF(Table1[[#This Row],[year]]&lt;1980, "Classic", "Modern")</f>
        <v>Modern</v>
      </c>
    </row>
    <row r="89" spans="1:14" x14ac:dyDescent="0.35">
      <c r="A89" t="s">
        <v>254</v>
      </c>
      <c r="B89" t="s">
        <v>255</v>
      </c>
      <c r="C89">
        <v>1995</v>
      </c>
      <c r="D89">
        <v>178</v>
      </c>
      <c r="E89" t="s">
        <v>256</v>
      </c>
      <c r="F89">
        <v>8.3000000000000007</v>
      </c>
      <c r="G89">
        <v>1161420</v>
      </c>
      <c r="H89">
        <v>88</v>
      </c>
      <c r="I89" t="s">
        <v>35</v>
      </c>
      <c r="J89" t="s">
        <v>15</v>
      </c>
      <c r="K89" t="s">
        <v>22</v>
      </c>
      <c r="L89">
        <v>1.1599999999999999</v>
      </c>
      <c r="M89" t="str">
        <f>IF(Table1[[#This Row],[votes]]&gt;500000,"Yes","No")</f>
        <v>Yes</v>
      </c>
      <c r="N89" t="str">
        <f>IF(Table1[[#This Row],[year]]&lt;1980, "Classic", "Modern")</f>
        <v>Modern</v>
      </c>
    </row>
    <row r="90" spans="1:14" x14ac:dyDescent="0.35">
      <c r="A90" t="s">
        <v>257</v>
      </c>
      <c r="B90" t="s">
        <v>258</v>
      </c>
      <c r="C90">
        <v>1983</v>
      </c>
      <c r="D90">
        <v>170</v>
      </c>
      <c r="E90" t="s">
        <v>19</v>
      </c>
      <c r="F90">
        <v>8.3000000000000007</v>
      </c>
      <c r="G90">
        <v>1016236</v>
      </c>
      <c r="H90">
        <v>89</v>
      </c>
      <c r="I90" t="s">
        <v>20</v>
      </c>
      <c r="J90" t="s">
        <v>71</v>
      </c>
      <c r="K90" t="s">
        <v>22</v>
      </c>
      <c r="L90">
        <v>1.02</v>
      </c>
      <c r="M90" t="str">
        <f>IF(Table1[[#This Row],[votes]]&gt;500000,"Yes","No")</f>
        <v>Yes</v>
      </c>
      <c r="N90" t="str">
        <f>IF(Table1[[#This Row],[year]]&lt;1980, "Classic", "Modern")</f>
        <v>Modern</v>
      </c>
    </row>
    <row r="91" spans="1:14" x14ac:dyDescent="0.35">
      <c r="A91" t="s">
        <v>259</v>
      </c>
      <c r="B91" t="s">
        <v>260</v>
      </c>
      <c r="C91">
        <v>2000</v>
      </c>
      <c r="D91">
        <v>102</v>
      </c>
      <c r="E91" t="s">
        <v>14</v>
      </c>
      <c r="F91">
        <v>8.3000000000000007</v>
      </c>
      <c r="G91">
        <v>973781</v>
      </c>
      <c r="H91">
        <v>90</v>
      </c>
      <c r="I91" t="s">
        <v>14</v>
      </c>
      <c r="J91" t="s">
        <v>27</v>
      </c>
      <c r="K91" t="s">
        <v>16</v>
      </c>
      <c r="L91">
        <v>0.97</v>
      </c>
      <c r="M91" t="str">
        <f>IF(Table1[[#This Row],[votes]]&gt;500000,"Yes","No")</f>
        <v>Yes</v>
      </c>
      <c r="N91" t="str">
        <f>IF(Table1[[#This Row],[year]]&lt;1980, "Classic", "Modern")</f>
        <v>Modern</v>
      </c>
    </row>
    <row r="92" spans="1:14" x14ac:dyDescent="0.35">
      <c r="A92" t="s">
        <v>261</v>
      </c>
      <c r="B92" t="s">
        <v>262</v>
      </c>
      <c r="C92">
        <v>2010</v>
      </c>
      <c r="D92">
        <v>103</v>
      </c>
      <c r="E92" t="s">
        <v>243</v>
      </c>
      <c r="F92">
        <v>8.3000000000000007</v>
      </c>
      <c r="G92">
        <v>970005</v>
      </c>
      <c r="H92">
        <v>91</v>
      </c>
      <c r="I92" t="s">
        <v>31</v>
      </c>
      <c r="J92" t="s">
        <v>47</v>
      </c>
      <c r="K92" t="s">
        <v>16</v>
      </c>
      <c r="L92">
        <v>0.97</v>
      </c>
      <c r="M92" t="str">
        <f>IF(Table1[[#This Row],[votes]]&gt;500000,"Yes","No")</f>
        <v>Yes</v>
      </c>
      <c r="N92" t="str">
        <f>IF(Table1[[#This Row],[year]]&lt;1980, "Classic", "Modern")</f>
        <v>Modern</v>
      </c>
    </row>
    <row r="93" spans="1:14" x14ac:dyDescent="0.35">
      <c r="A93" t="s">
        <v>263</v>
      </c>
      <c r="B93" t="s">
        <v>264</v>
      </c>
      <c r="C93">
        <v>2001</v>
      </c>
      <c r="D93">
        <v>122</v>
      </c>
      <c r="E93" t="s">
        <v>265</v>
      </c>
      <c r="F93">
        <v>8.3000000000000007</v>
      </c>
      <c r="G93">
        <v>840156</v>
      </c>
      <c r="H93">
        <v>92</v>
      </c>
      <c r="I93" t="s">
        <v>105</v>
      </c>
      <c r="J93" t="s">
        <v>27</v>
      </c>
      <c r="K93" t="s">
        <v>16</v>
      </c>
      <c r="L93">
        <v>0.84</v>
      </c>
      <c r="M93" t="str">
        <f>IF(Table1[[#This Row],[votes]]&gt;500000,"Yes","No")</f>
        <v>Yes</v>
      </c>
      <c r="N93" t="str">
        <f>IF(Table1[[#This Row],[year]]&lt;1980, "Classic", "Modern")</f>
        <v>Modern</v>
      </c>
    </row>
    <row r="94" spans="1:14" x14ac:dyDescent="0.35">
      <c r="A94" t="s">
        <v>266</v>
      </c>
      <c r="B94" t="s">
        <v>267</v>
      </c>
      <c r="C94">
        <v>1995</v>
      </c>
      <c r="D94">
        <v>170</v>
      </c>
      <c r="E94" t="s">
        <v>25</v>
      </c>
      <c r="F94">
        <v>8.3000000000000007</v>
      </c>
      <c r="G94">
        <v>804392</v>
      </c>
      <c r="H94">
        <v>93</v>
      </c>
      <c r="I94" t="s">
        <v>26</v>
      </c>
      <c r="J94" t="s">
        <v>15</v>
      </c>
      <c r="K94" t="s">
        <v>22</v>
      </c>
      <c r="L94">
        <v>0.8</v>
      </c>
      <c r="M94" t="str">
        <f>IF(Table1[[#This Row],[votes]]&gt;500000,"Yes","No")</f>
        <v>Yes</v>
      </c>
      <c r="N94" t="str">
        <f>IF(Table1[[#This Row],[year]]&lt;1980, "Classic", "Modern")</f>
        <v>Modern</v>
      </c>
    </row>
    <row r="95" spans="1:14" x14ac:dyDescent="0.35">
      <c r="A95" t="s">
        <v>268</v>
      </c>
      <c r="B95" t="s">
        <v>269</v>
      </c>
      <c r="C95">
        <v>1968</v>
      </c>
      <c r="D95">
        <v>149</v>
      </c>
      <c r="E95" t="s">
        <v>270</v>
      </c>
      <c r="F95">
        <v>8.3000000000000007</v>
      </c>
      <c r="G95">
        <v>783993</v>
      </c>
      <c r="H95">
        <v>94</v>
      </c>
      <c r="I95" t="s">
        <v>31</v>
      </c>
      <c r="J95" t="s">
        <v>61</v>
      </c>
      <c r="K95" t="s">
        <v>16</v>
      </c>
      <c r="L95">
        <v>0.78</v>
      </c>
      <c r="M95" t="str">
        <f>IF(Table1[[#This Row],[votes]]&gt;500000,"Yes","No")</f>
        <v>Yes</v>
      </c>
      <c r="N95" t="str">
        <f>IF(Table1[[#This Row],[year]]&lt;1980, "Classic", "Modern")</f>
        <v>Classic</v>
      </c>
    </row>
    <row r="96" spans="1:14" x14ac:dyDescent="0.35">
      <c r="A96" t="s">
        <v>271</v>
      </c>
      <c r="B96" t="s">
        <v>272</v>
      </c>
      <c r="C96">
        <v>2003</v>
      </c>
      <c r="D96">
        <v>120</v>
      </c>
      <c r="E96" t="s">
        <v>273</v>
      </c>
      <c r="F96">
        <v>8.3000000000000007</v>
      </c>
      <c r="G96">
        <v>719135</v>
      </c>
      <c r="H96">
        <v>95</v>
      </c>
      <c r="I96" t="s">
        <v>26</v>
      </c>
      <c r="J96" t="s">
        <v>27</v>
      </c>
      <c r="K96" t="s">
        <v>16</v>
      </c>
      <c r="L96">
        <v>0.72</v>
      </c>
      <c r="M96" t="str">
        <f>IF(Table1[[#This Row],[votes]]&gt;500000,"Yes","No")</f>
        <v>Yes</v>
      </c>
      <c r="N96" t="str">
        <f>IF(Table1[[#This Row],[year]]&lt;1980, "Classic", "Modern")</f>
        <v>Modern</v>
      </c>
    </row>
    <row r="97" spans="1:14" x14ac:dyDescent="0.35">
      <c r="A97" t="s">
        <v>274</v>
      </c>
      <c r="B97" t="s">
        <v>275</v>
      </c>
      <c r="C97">
        <v>1964</v>
      </c>
      <c r="D97">
        <v>95</v>
      </c>
      <c r="E97" t="s">
        <v>276</v>
      </c>
      <c r="F97">
        <v>8.3000000000000007</v>
      </c>
      <c r="G97">
        <v>551671</v>
      </c>
      <c r="H97">
        <v>96</v>
      </c>
      <c r="I97" t="s">
        <v>105</v>
      </c>
      <c r="J97" t="s">
        <v>61</v>
      </c>
      <c r="K97" t="s">
        <v>41</v>
      </c>
      <c r="L97">
        <v>0.55000000000000004</v>
      </c>
      <c r="M97" t="str">
        <f>IF(Table1[[#This Row],[votes]]&gt;500000,"Yes","No")</f>
        <v>Yes</v>
      </c>
      <c r="N97" t="str">
        <f>IF(Table1[[#This Row],[year]]&lt;1980, "Classic", "Modern")</f>
        <v>Classic</v>
      </c>
    </row>
    <row r="98" spans="1:14" x14ac:dyDescent="0.35">
      <c r="A98" t="s">
        <v>277</v>
      </c>
      <c r="B98" t="s">
        <v>278</v>
      </c>
      <c r="C98">
        <v>1997</v>
      </c>
      <c r="D98">
        <v>133</v>
      </c>
      <c r="E98" t="s">
        <v>279</v>
      </c>
      <c r="F98">
        <v>8.3000000000000007</v>
      </c>
      <c r="G98">
        <v>484123</v>
      </c>
      <c r="H98">
        <v>97</v>
      </c>
      <c r="I98" t="s">
        <v>31</v>
      </c>
      <c r="J98" t="s">
        <v>15</v>
      </c>
      <c r="K98" t="s">
        <v>16</v>
      </c>
      <c r="L98">
        <v>0.48</v>
      </c>
      <c r="M98" t="str">
        <f>IF(Table1[[#This Row],[votes]]&gt;500000,"Yes","No")</f>
        <v>No</v>
      </c>
      <c r="N98" t="str">
        <f>IF(Table1[[#This Row],[year]]&lt;1980, "Classic", "Modern")</f>
        <v>Modern</v>
      </c>
    </row>
    <row r="99" spans="1:14" x14ac:dyDescent="0.35">
      <c r="A99" t="s">
        <v>280</v>
      </c>
      <c r="B99" t="s">
        <v>281</v>
      </c>
      <c r="C99">
        <v>2012</v>
      </c>
      <c r="D99">
        <v>115</v>
      </c>
      <c r="E99" t="s">
        <v>14</v>
      </c>
      <c r="F99">
        <v>8.3000000000000007</v>
      </c>
      <c r="G99">
        <v>409667</v>
      </c>
      <c r="H99">
        <v>98</v>
      </c>
      <c r="I99" t="s">
        <v>14</v>
      </c>
      <c r="J99" t="s">
        <v>47</v>
      </c>
      <c r="K99" t="s">
        <v>16</v>
      </c>
      <c r="L99">
        <v>0.41</v>
      </c>
      <c r="M99" t="str">
        <f>IF(Table1[[#This Row],[votes]]&gt;500000,"Yes","No")</f>
        <v>No</v>
      </c>
      <c r="N99" t="str">
        <f>IF(Table1[[#This Row],[year]]&lt;1980, "Classic", "Modern")</f>
        <v>Modern</v>
      </c>
    </row>
    <row r="100" spans="1:14" x14ac:dyDescent="0.35">
      <c r="A100" t="s">
        <v>282</v>
      </c>
      <c r="B100" t="s">
        <v>283</v>
      </c>
      <c r="C100">
        <v>1984</v>
      </c>
      <c r="D100">
        <v>229</v>
      </c>
      <c r="E100" t="s">
        <v>19</v>
      </c>
      <c r="F100">
        <v>8.3000000000000007</v>
      </c>
      <c r="G100">
        <v>409135</v>
      </c>
      <c r="H100">
        <v>99</v>
      </c>
      <c r="I100" t="s">
        <v>20</v>
      </c>
      <c r="J100" t="s">
        <v>71</v>
      </c>
      <c r="K100" t="s">
        <v>22</v>
      </c>
      <c r="L100">
        <v>0.41</v>
      </c>
      <c r="M100" t="str">
        <f>IF(Table1[[#This Row],[votes]]&gt;500000,"Yes","No")</f>
        <v>No</v>
      </c>
      <c r="N100" t="str">
        <f>IF(Table1[[#This Row],[year]]&lt;1980, "Classic", "Modern")</f>
        <v>Modern</v>
      </c>
    </row>
    <row r="101" spans="1:14" x14ac:dyDescent="0.35">
      <c r="A101" t="s">
        <v>284</v>
      </c>
      <c r="B101" t="s">
        <v>285</v>
      </c>
      <c r="C101">
        <v>1959</v>
      </c>
      <c r="D101">
        <v>136</v>
      </c>
      <c r="E101" t="s">
        <v>286</v>
      </c>
      <c r="F101">
        <v>8.3000000000000007</v>
      </c>
      <c r="G101">
        <v>369859</v>
      </c>
      <c r="H101">
        <v>100</v>
      </c>
      <c r="I101" t="s">
        <v>31</v>
      </c>
      <c r="J101" t="s">
        <v>40</v>
      </c>
      <c r="K101" t="s">
        <v>16</v>
      </c>
      <c r="L101">
        <v>0.37</v>
      </c>
      <c r="M101" t="str">
        <f>IF(Table1[[#This Row],[votes]]&gt;500000,"Yes","No")</f>
        <v>No</v>
      </c>
      <c r="N101" t="str">
        <f>IF(Table1[[#This Row],[year]]&lt;1980, "Classic", "Modern")</f>
        <v>Classic</v>
      </c>
    </row>
    <row r="102" spans="1:14" x14ac:dyDescent="0.35">
      <c r="A102" t="s">
        <v>287</v>
      </c>
      <c r="B102" t="s">
        <v>288</v>
      </c>
      <c r="C102">
        <v>1962</v>
      </c>
      <c r="D102">
        <v>227</v>
      </c>
      <c r="E102" t="s">
        <v>289</v>
      </c>
      <c r="F102">
        <v>8.3000000000000007</v>
      </c>
      <c r="G102">
        <v>342373</v>
      </c>
      <c r="H102">
        <v>101</v>
      </c>
      <c r="I102" t="s">
        <v>31</v>
      </c>
      <c r="J102" t="s">
        <v>61</v>
      </c>
      <c r="K102" t="s">
        <v>22</v>
      </c>
      <c r="L102">
        <v>0.34</v>
      </c>
      <c r="M102" t="str">
        <f>IF(Table1[[#This Row],[votes]]&gt;500000,"Yes","No")</f>
        <v>No</v>
      </c>
      <c r="N102" t="str">
        <f>IF(Table1[[#This Row],[year]]&lt;1980, "Classic", "Modern")</f>
        <v>Classic</v>
      </c>
    </row>
    <row r="103" spans="1:14" x14ac:dyDescent="0.35">
      <c r="A103" t="s">
        <v>290</v>
      </c>
      <c r="B103" t="s">
        <v>291</v>
      </c>
      <c r="C103">
        <v>2026</v>
      </c>
      <c r="D103">
        <v>156</v>
      </c>
      <c r="E103" t="s">
        <v>292</v>
      </c>
      <c r="F103">
        <v>8.3000000000000007</v>
      </c>
      <c r="G103">
        <v>296751</v>
      </c>
      <c r="H103">
        <v>102</v>
      </c>
      <c r="I103" t="s">
        <v>31</v>
      </c>
      <c r="J103" t="s">
        <v>78</v>
      </c>
      <c r="K103" t="s">
        <v>22</v>
      </c>
      <c r="L103">
        <v>0.3</v>
      </c>
      <c r="M103" t="str">
        <f>IF(Table1[[#This Row],[votes]]&gt;500000,"Yes","No")</f>
        <v>No</v>
      </c>
      <c r="N103" t="str">
        <f>IF(Table1[[#This Row],[year]]&lt;1980, "Classic", "Modern")</f>
        <v>Modern</v>
      </c>
    </row>
    <row r="104" spans="1:14" x14ac:dyDescent="0.35">
      <c r="A104" t="s">
        <v>293</v>
      </c>
      <c r="B104" t="s">
        <v>294</v>
      </c>
      <c r="C104">
        <v>1981</v>
      </c>
      <c r="D104">
        <v>149</v>
      </c>
      <c r="E104" t="s">
        <v>87</v>
      </c>
      <c r="F104">
        <v>8.3000000000000007</v>
      </c>
      <c r="G104">
        <v>288028</v>
      </c>
      <c r="H104">
        <v>103</v>
      </c>
      <c r="I104" t="s">
        <v>14</v>
      </c>
      <c r="J104" t="s">
        <v>71</v>
      </c>
      <c r="K104" t="s">
        <v>16</v>
      </c>
      <c r="L104">
        <v>0.28999999999999998</v>
      </c>
      <c r="M104" t="str">
        <f>IF(Table1[[#This Row],[votes]]&gt;500000,"Yes","No")</f>
        <v>No</v>
      </c>
      <c r="N104" t="str">
        <f>IF(Table1[[#This Row],[year]]&lt;1980, "Classic", "Modern")</f>
        <v>Modern</v>
      </c>
    </row>
    <row r="105" spans="1:14" x14ac:dyDescent="0.35">
      <c r="A105" t="s">
        <v>295</v>
      </c>
      <c r="B105" t="s">
        <v>296</v>
      </c>
      <c r="C105">
        <v>1952</v>
      </c>
      <c r="D105">
        <v>103</v>
      </c>
      <c r="E105" t="s">
        <v>297</v>
      </c>
      <c r="F105">
        <v>8.3000000000000007</v>
      </c>
      <c r="G105">
        <v>282727</v>
      </c>
      <c r="H105">
        <v>104</v>
      </c>
      <c r="I105" t="s">
        <v>105</v>
      </c>
      <c r="J105" t="s">
        <v>40</v>
      </c>
      <c r="K105" t="s">
        <v>16</v>
      </c>
      <c r="L105">
        <v>0.28000000000000003</v>
      </c>
      <c r="M105" t="str">
        <f>IF(Table1[[#This Row],[votes]]&gt;500000,"Yes","No")</f>
        <v>No</v>
      </c>
      <c r="N105" t="str">
        <f>IF(Table1[[#This Row],[year]]&lt;1980, "Classic", "Modern")</f>
        <v>Classic</v>
      </c>
    </row>
    <row r="106" spans="1:14" x14ac:dyDescent="0.35">
      <c r="A106" t="s">
        <v>298</v>
      </c>
      <c r="B106" t="s">
        <v>299</v>
      </c>
      <c r="C106">
        <v>2011</v>
      </c>
      <c r="D106">
        <v>123</v>
      </c>
      <c r="E106" t="s">
        <v>14</v>
      </c>
      <c r="F106">
        <v>8.3000000000000007</v>
      </c>
      <c r="G106">
        <v>277833</v>
      </c>
      <c r="H106">
        <v>105</v>
      </c>
      <c r="I106" t="s">
        <v>14</v>
      </c>
      <c r="J106" t="s">
        <v>47</v>
      </c>
      <c r="K106" t="s">
        <v>16</v>
      </c>
      <c r="L106">
        <v>0.28000000000000003</v>
      </c>
      <c r="M106" t="str">
        <f>IF(Table1[[#This Row],[votes]]&gt;500000,"Yes","No")</f>
        <v>No</v>
      </c>
      <c r="N106" t="str">
        <f>IF(Table1[[#This Row],[year]]&lt;1980, "Classic", "Modern")</f>
        <v>Modern</v>
      </c>
    </row>
    <row r="107" spans="1:14" x14ac:dyDescent="0.35">
      <c r="A107" t="s">
        <v>300</v>
      </c>
      <c r="B107" t="s">
        <v>301</v>
      </c>
      <c r="C107">
        <v>2010</v>
      </c>
      <c r="D107">
        <v>131</v>
      </c>
      <c r="E107" t="s">
        <v>209</v>
      </c>
      <c r="F107">
        <v>8.3000000000000007</v>
      </c>
      <c r="G107">
        <v>251117</v>
      </c>
      <c r="H107">
        <v>106</v>
      </c>
      <c r="I107" t="s">
        <v>14</v>
      </c>
      <c r="J107" t="s">
        <v>47</v>
      </c>
      <c r="K107" t="s">
        <v>16</v>
      </c>
      <c r="L107">
        <v>0.25</v>
      </c>
      <c r="M107" t="str">
        <f>IF(Table1[[#This Row],[votes]]&gt;500000,"Yes","No")</f>
        <v>No</v>
      </c>
      <c r="N107" t="str">
        <f>IF(Table1[[#This Row],[year]]&lt;1980, "Classic", "Modern")</f>
        <v>Modern</v>
      </c>
    </row>
    <row r="108" spans="1:14" x14ac:dyDescent="0.35">
      <c r="A108" t="s">
        <v>302</v>
      </c>
      <c r="B108" t="s">
        <v>303</v>
      </c>
      <c r="C108">
        <v>2016</v>
      </c>
      <c r="D108">
        <v>161</v>
      </c>
      <c r="E108" t="s">
        <v>304</v>
      </c>
      <c r="F108">
        <v>8.3000000000000007</v>
      </c>
      <c r="G108">
        <v>243185</v>
      </c>
      <c r="H108">
        <v>107</v>
      </c>
      <c r="I108" t="s">
        <v>26</v>
      </c>
      <c r="J108" t="s">
        <v>47</v>
      </c>
      <c r="K108" t="s">
        <v>22</v>
      </c>
      <c r="L108">
        <v>0.24</v>
      </c>
      <c r="M108" t="str">
        <f>IF(Table1[[#This Row],[votes]]&gt;500000,"Yes","No")</f>
        <v>No</v>
      </c>
      <c r="N108" t="str">
        <f>IF(Table1[[#This Row],[year]]&lt;1980, "Classic", "Modern")</f>
        <v>Modern</v>
      </c>
    </row>
    <row r="109" spans="1:14" x14ac:dyDescent="0.35">
      <c r="A109" t="s">
        <v>305</v>
      </c>
      <c r="B109" t="s">
        <v>306</v>
      </c>
      <c r="C109">
        <v>2007</v>
      </c>
      <c r="D109">
        <v>162</v>
      </c>
      <c r="E109" t="s">
        <v>307</v>
      </c>
      <c r="F109">
        <v>8.3000000000000007</v>
      </c>
      <c r="G109">
        <v>232327</v>
      </c>
      <c r="H109">
        <v>108</v>
      </c>
      <c r="I109" t="s">
        <v>14</v>
      </c>
      <c r="J109" t="s">
        <v>27</v>
      </c>
      <c r="K109" t="s">
        <v>22</v>
      </c>
      <c r="L109">
        <v>0.23</v>
      </c>
      <c r="M109" t="str">
        <f>IF(Table1[[#This Row],[votes]]&gt;500000,"Yes","No")</f>
        <v>No</v>
      </c>
      <c r="N109" t="str">
        <f>IF(Table1[[#This Row],[year]]&lt;1980, "Classic", "Modern")</f>
        <v>Modern</v>
      </c>
    </row>
    <row r="110" spans="1:14" x14ac:dyDescent="0.35">
      <c r="A110" t="s">
        <v>308</v>
      </c>
      <c r="B110" t="s">
        <v>309</v>
      </c>
      <c r="C110">
        <v>1960</v>
      </c>
      <c r="D110">
        <v>125</v>
      </c>
      <c r="E110" t="s">
        <v>104</v>
      </c>
      <c r="F110">
        <v>8.3000000000000007</v>
      </c>
      <c r="G110">
        <v>219479</v>
      </c>
      <c r="H110">
        <v>109</v>
      </c>
      <c r="I110" t="s">
        <v>105</v>
      </c>
      <c r="J110" t="s">
        <v>61</v>
      </c>
      <c r="K110" t="s">
        <v>16</v>
      </c>
      <c r="L110">
        <v>0.22</v>
      </c>
      <c r="M110" t="str">
        <f>IF(Table1[[#This Row],[votes]]&gt;500000,"Yes","No")</f>
        <v>No</v>
      </c>
      <c r="N110" t="str">
        <f>IF(Table1[[#This Row],[year]]&lt;1980, "Classic", "Modern")</f>
        <v>Classic</v>
      </c>
    </row>
    <row r="111" spans="1:14" x14ac:dyDescent="0.35">
      <c r="A111" t="s">
        <v>310</v>
      </c>
      <c r="B111" t="s">
        <v>311</v>
      </c>
      <c r="C111">
        <v>1931</v>
      </c>
      <c r="D111">
        <v>99</v>
      </c>
      <c r="E111" t="s">
        <v>312</v>
      </c>
      <c r="F111">
        <v>8.3000000000000007</v>
      </c>
      <c r="G111">
        <v>182932</v>
      </c>
      <c r="H111">
        <v>110</v>
      </c>
      <c r="I111" t="s">
        <v>20</v>
      </c>
      <c r="J111" t="s">
        <v>177</v>
      </c>
      <c r="K111" t="s">
        <v>41</v>
      </c>
      <c r="L111">
        <v>0.18</v>
      </c>
      <c r="M111" t="str">
        <f>IF(Table1[[#This Row],[votes]]&gt;500000,"Yes","No")</f>
        <v>No</v>
      </c>
      <c r="N111" t="str">
        <f>IF(Table1[[#This Row],[year]]&lt;1980, "Classic", "Modern")</f>
        <v>Classic</v>
      </c>
    </row>
    <row r="112" spans="1:14" x14ac:dyDescent="0.35">
      <c r="A112" t="s">
        <v>313</v>
      </c>
      <c r="B112" t="s">
        <v>314</v>
      </c>
      <c r="C112">
        <v>1944</v>
      </c>
      <c r="D112">
        <v>107</v>
      </c>
      <c r="E112" t="s">
        <v>315</v>
      </c>
      <c r="F112">
        <v>8.3000000000000007</v>
      </c>
      <c r="G112">
        <v>181459</v>
      </c>
      <c r="H112">
        <v>111</v>
      </c>
      <c r="I112" t="s">
        <v>20</v>
      </c>
      <c r="J112" t="s">
        <v>109</v>
      </c>
      <c r="K112" t="s">
        <v>16</v>
      </c>
      <c r="L112">
        <v>0.18</v>
      </c>
      <c r="M112" t="str">
        <f>IF(Table1[[#This Row],[votes]]&gt;500000,"Yes","No")</f>
        <v>No</v>
      </c>
      <c r="N112" t="str">
        <f>IF(Table1[[#This Row],[year]]&lt;1980, "Classic", "Modern")</f>
        <v>Classic</v>
      </c>
    </row>
    <row r="113" spans="1:14" x14ac:dyDescent="0.35">
      <c r="A113" t="s">
        <v>316</v>
      </c>
      <c r="B113" t="s">
        <v>317</v>
      </c>
      <c r="C113">
        <v>2020</v>
      </c>
      <c r="D113">
        <v>160</v>
      </c>
      <c r="E113" t="s">
        <v>34</v>
      </c>
      <c r="F113">
        <v>8.3000000000000007</v>
      </c>
      <c r="G113">
        <v>139288</v>
      </c>
      <c r="H113">
        <v>112</v>
      </c>
      <c r="I113" t="s">
        <v>35</v>
      </c>
      <c r="J113" t="s">
        <v>78</v>
      </c>
      <c r="K113" t="s">
        <v>22</v>
      </c>
      <c r="L113">
        <v>0.14000000000000001</v>
      </c>
      <c r="M113" t="str">
        <f>IF(Table1[[#This Row],[votes]]&gt;500000,"Yes","No")</f>
        <v>No</v>
      </c>
      <c r="N113" t="str">
        <f>IF(Table1[[#This Row],[year]]&lt;1980, "Classic", "Modern")</f>
        <v>Modern</v>
      </c>
    </row>
    <row r="114" spans="1:14" x14ac:dyDescent="0.35">
      <c r="A114" t="s">
        <v>318</v>
      </c>
      <c r="B114" t="s">
        <v>319</v>
      </c>
      <c r="C114">
        <v>2025</v>
      </c>
      <c r="D114">
        <v>214</v>
      </c>
      <c r="E114" t="s">
        <v>320</v>
      </c>
      <c r="F114">
        <v>8.3000000000000007</v>
      </c>
      <c r="G114">
        <v>139229</v>
      </c>
      <c r="H114">
        <v>113</v>
      </c>
      <c r="I114" t="s">
        <v>26</v>
      </c>
      <c r="J114" t="s">
        <v>78</v>
      </c>
      <c r="K114" t="s">
        <v>22</v>
      </c>
      <c r="L114">
        <v>0.14000000000000001</v>
      </c>
      <c r="M114" t="str">
        <f>IF(Table1[[#This Row],[votes]]&gt;500000,"Yes","No")</f>
        <v>No</v>
      </c>
      <c r="N114" t="str">
        <f>IF(Table1[[#This Row],[year]]&lt;1980, "Classic", "Modern")</f>
        <v>Modern</v>
      </c>
    </row>
    <row r="115" spans="1:14" x14ac:dyDescent="0.35">
      <c r="A115" t="s">
        <v>321</v>
      </c>
      <c r="B115" t="s">
        <v>322</v>
      </c>
      <c r="C115">
        <v>2020</v>
      </c>
      <c r="D115">
        <v>101</v>
      </c>
      <c r="E115" t="s">
        <v>104</v>
      </c>
      <c r="F115">
        <v>8.3000000000000007</v>
      </c>
      <c r="G115">
        <v>137736</v>
      </c>
      <c r="H115">
        <v>114</v>
      </c>
      <c r="I115" t="s">
        <v>105</v>
      </c>
      <c r="J115" t="s">
        <v>78</v>
      </c>
      <c r="K115" t="s">
        <v>16</v>
      </c>
      <c r="L115">
        <v>0.14000000000000001</v>
      </c>
      <c r="M115" t="str">
        <f>IF(Table1[[#This Row],[votes]]&gt;500000,"Yes","No")</f>
        <v>No</v>
      </c>
      <c r="N115" t="str">
        <f>IF(Table1[[#This Row],[year]]&lt;1980, "Classic", "Modern")</f>
        <v>Modern</v>
      </c>
    </row>
    <row r="116" spans="1:14" x14ac:dyDescent="0.35">
      <c r="A116" t="s">
        <v>323</v>
      </c>
      <c r="B116" t="s">
        <v>324</v>
      </c>
      <c r="C116">
        <v>2021</v>
      </c>
      <c r="D116">
        <v>135</v>
      </c>
      <c r="E116" t="s">
        <v>304</v>
      </c>
      <c r="F116">
        <v>8.3000000000000007</v>
      </c>
      <c r="G116">
        <v>136510</v>
      </c>
      <c r="H116">
        <v>115</v>
      </c>
      <c r="I116" t="s">
        <v>26</v>
      </c>
      <c r="J116" t="s">
        <v>78</v>
      </c>
      <c r="K116" t="s">
        <v>16</v>
      </c>
      <c r="L116">
        <v>0.14000000000000001</v>
      </c>
      <c r="M116" t="str">
        <f>IF(Table1[[#This Row],[votes]]&gt;500000,"Yes","No")</f>
        <v>No</v>
      </c>
      <c r="N116" t="str">
        <f>IF(Table1[[#This Row],[year]]&lt;1980, "Classic", "Modern")</f>
        <v>Modern</v>
      </c>
    </row>
    <row r="117" spans="1:14" x14ac:dyDescent="0.35">
      <c r="A117" t="s">
        <v>325</v>
      </c>
      <c r="B117" t="s">
        <v>326</v>
      </c>
      <c r="C117">
        <v>1985</v>
      </c>
      <c r="D117">
        <v>142</v>
      </c>
      <c r="E117" t="s">
        <v>327</v>
      </c>
      <c r="F117">
        <v>8.3000000000000007</v>
      </c>
      <c r="G117">
        <v>122979</v>
      </c>
      <c r="H117">
        <v>116</v>
      </c>
      <c r="I117" t="s">
        <v>14</v>
      </c>
      <c r="J117" t="s">
        <v>71</v>
      </c>
      <c r="K117" t="s">
        <v>16</v>
      </c>
      <c r="L117">
        <v>0.12</v>
      </c>
      <c r="M117" t="str">
        <f>IF(Table1[[#This Row],[votes]]&gt;500000,"Yes","No")</f>
        <v>No</v>
      </c>
      <c r="N117" t="str">
        <f>IF(Table1[[#This Row],[year]]&lt;1980, "Classic", "Modern")</f>
        <v>Modern</v>
      </c>
    </row>
    <row r="118" spans="1:14" x14ac:dyDescent="0.35">
      <c r="A118" t="s">
        <v>328</v>
      </c>
      <c r="B118" t="s">
        <v>329</v>
      </c>
      <c r="C118">
        <v>1952</v>
      </c>
      <c r="D118">
        <v>143</v>
      </c>
      <c r="E118" t="s">
        <v>14</v>
      </c>
      <c r="F118">
        <v>8.3000000000000007</v>
      </c>
      <c r="G118">
        <v>102362</v>
      </c>
      <c r="H118">
        <v>117</v>
      </c>
      <c r="I118" t="s">
        <v>14</v>
      </c>
      <c r="J118" t="s">
        <v>40</v>
      </c>
      <c r="K118" t="s">
        <v>16</v>
      </c>
      <c r="L118">
        <v>0.1</v>
      </c>
      <c r="M118" t="str">
        <f>IF(Table1[[#This Row],[votes]]&gt;500000,"Yes","No")</f>
        <v>No</v>
      </c>
      <c r="N118" t="str">
        <f>IF(Table1[[#This Row],[year]]&lt;1980, "Classic", "Modern")</f>
        <v>Classic</v>
      </c>
    </row>
    <row r="119" spans="1:14" x14ac:dyDescent="0.35">
      <c r="A119" t="s">
        <v>330</v>
      </c>
      <c r="B119" t="s">
        <v>331</v>
      </c>
      <c r="C119">
        <v>2013</v>
      </c>
      <c r="D119">
        <v>180</v>
      </c>
      <c r="E119" t="s">
        <v>332</v>
      </c>
      <c r="F119">
        <v>8.1999999999999993</v>
      </c>
      <c r="G119">
        <v>1788459</v>
      </c>
      <c r="H119">
        <v>118</v>
      </c>
      <c r="I119" t="s">
        <v>35</v>
      </c>
      <c r="J119" t="s">
        <v>47</v>
      </c>
      <c r="K119" t="s">
        <v>22</v>
      </c>
      <c r="L119">
        <v>1.79</v>
      </c>
      <c r="M119" t="str">
        <f>IF(Table1[[#This Row],[votes]]&gt;500000,"Yes","No")</f>
        <v>Yes</v>
      </c>
      <c r="N119" t="str">
        <f>IF(Table1[[#This Row],[year]]&lt;1980, "Classic", "Modern")</f>
        <v>Modern</v>
      </c>
    </row>
    <row r="120" spans="1:14" x14ac:dyDescent="0.35">
      <c r="A120" t="s">
        <v>333</v>
      </c>
      <c r="B120" t="s">
        <v>334</v>
      </c>
      <c r="C120">
        <v>2005</v>
      </c>
      <c r="D120">
        <v>140</v>
      </c>
      <c r="E120" t="s">
        <v>25</v>
      </c>
      <c r="F120">
        <v>8.1999999999999993</v>
      </c>
      <c r="G120">
        <v>1714592</v>
      </c>
      <c r="H120">
        <v>119</v>
      </c>
      <c r="I120" t="s">
        <v>26</v>
      </c>
      <c r="J120" t="s">
        <v>27</v>
      </c>
      <c r="K120" t="s">
        <v>16</v>
      </c>
      <c r="L120">
        <v>1.71</v>
      </c>
      <c r="M120" t="str">
        <f>IF(Table1[[#This Row],[votes]]&gt;500000,"Yes","No")</f>
        <v>Yes</v>
      </c>
      <c r="N120" t="str">
        <f>IF(Table1[[#This Row],[year]]&lt;1980, "Classic", "Modern")</f>
        <v>Modern</v>
      </c>
    </row>
    <row r="121" spans="1:14" x14ac:dyDescent="0.35">
      <c r="A121" t="s">
        <v>335</v>
      </c>
      <c r="B121" t="s">
        <v>336</v>
      </c>
      <c r="C121">
        <v>2010</v>
      </c>
      <c r="D121">
        <v>138</v>
      </c>
      <c r="E121" t="s">
        <v>189</v>
      </c>
      <c r="F121">
        <v>8.1999999999999993</v>
      </c>
      <c r="G121">
        <v>1648243</v>
      </c>
      <c r="H121">
        <v>120</v>
      </c>
      <c r="I121" t="s">
        <v>14</v>
      </c>
      <c r="J121" t="s">
        <v>47</v>
      </c>
      <c r="K121" t="s">
        <v>16</v>
      </c>
      <c r="L121">
        <v>1.65</v>
      </c>
      <c r="M121" t="str">
        <f>IF(Table1[[#This Row],[votes]]&gt;500000,"Yes","No")</f>
        <v>Yes</v>
      </c>
      <c r="N121" t="str">
        <f>IF(Table1[[#This Row],[year]]&lt;1980, "Classic", "Modern")</f>
        <v>Modern</v>
      </c>
    </row>
    <row r="122" spans="1:14" x14ac:dyDescent="0.35">
      <c r="A122" t="s">
        <v>337</v>
      </c>
      <c r="B122" t="s">
        <v>338</v>
      </c>
      <c r="C122">
        <v>1998</v>
      </c>
      <c r="D122">
        <v>103</v>
      </c>
      <c r="E122" t="s">
        <v>152</v>
      </c>
      <c r="F122">
        <v>8.1999999999999993</v>
      </c>
      <c r="G122">
        <v>1374276</v>
      </c>
      <c r="H122">
        <v>121</v>
      </c>
      <c r="I122" t="s">
        <v>105</v>
      </c>
      <c r="J122" t="s">
        <v>15</v>
      </c>
      <c r="K122" t="s">
        <v>16</v>
      </c>
      <c r="L122">
        <v>1.37</v>
      </c>
      <c r="M122" t="str">
        <f>IF(Table1[[#This Row],[votes]]&gt;500000,"Yes","No")</f>
        <v>Yes</v>
      </c>
      <c r="N122" t="str">
        <f>IF(Table1[[#This Row],[year]]&lt;1980, "Classic", "Modern")</f>
        <v>Modern</v>
      </c>
    </row>
    <row r="123" spans="1:14" x14ac:dyDescent="0.35">
      <c r="A123" t="s">
        <v>339</v>
      </c>
      <c r="B123" t="s">
        <v>340</v>
      </c>
      <c r="C123">
        <v>2003</v>
      </c>
      <c r="D123">
        <v>111</v>
      </c>
      <c r="E123" t="s">
        <v>341</v>
      </c>
      <c r="F123">
        <v>8.1999999999999993</v>
      </c>
      <c r="G123">
        <v>1308169</v>
      </c>
      <c r="H123">
        <v>122</v>
      </c>
      <c r="I123" t="s">
        <v>26</v>
      </c>
      <c r="J123" t="s">
        <v>27</v>
      </c>
      <c r="K123" t="s">
        <v>16</v>
      </c>
      <c r="L123">
        <v>1.31</v>
      </c>
      <c r="M123" t="str">
        <f>IF(Table1[[#This Row],[votes]]&gt;500000,"Yes","No")</f>
        <v>Yes</v>
      </c>
      <c r="N123" t="str">
        <f>IF(Table1[[#This Row],[year]]&lt;1980, "Classic", "Modern")</f>
        <v>Modern</v>
      </c>
    </row>
    <row r="124" spans="1:14" x14ac:dyDescent="0.35">
      <c r="A124" t="s">
        <v>342</v>
      </c>
      <c r="B124" t="s">
        <v>343</v>
      </c>
      <c r="C124">
        <v>2003</v>
      </c>
      <c r="D124">
        <v>100</v>
      </c>
      <c r="E124" t="s">
        <v>243</v>
      </c>
      <c r="F124">
        <v>8.1999999999999993</v>
      </c>
      <c r="G124">
        <v>1207890</v>
      </c>
      <c r="H124">
        <v>123</v>
      </c>
      <c r="I124" t="s">
        <v>31</v>
      </c>
      <c r="J124" t="s">
        <v>27</v>
      </c>
      <c r="K124" t="s">
        <v>16</v>
      </c>
      <c r="L124">
        <v>1.21</v>
      </c>
      <c r="M124" t="str">
        <f>IF(Table1[[#This Row],[votes]]&gt;500000,"Yes","No")</f>
        <v>Yes</v>
      </c>
      <c r="N124" t="str">
        <f>IF(Table1[[#This Row],[year]]&lt;1980, "Classic", "Modern")</f>
        <v>Modern</v>
      </c>
    </row>
    <row r="125" spans="1:14" x14ac:dyDescent="0.35">
      <c r="A125" t="s">
        <v>344</v>
      </c>
      <c r="B125" t="s">
        <v>345</v>
      </c>
      <c r="C125">
        <v>2007</v>
      </c>
      <c r="D125">
        <v>122</v>
      </c>
      <c r="E125" t="s">
        <v>50</v>
      </c>
      <c r="F125">
        <v>8.1999999999999993</v>
      </c>
      <c r="G125">
        <v>1190435</v>
      </c>
      <c r="H125">
        <v>124</v>
      </c>
      <c r="I125" t="s">
        <v>20</v>
      </c>
      <c r="J125" t="s">
        <v>27</v>
      </c>
      <c r="K125" t="s">
        <v>16</v>
      </c>
      <c r="L125">
        <v>1.19</v>
      </c>
      <c r="M125" t="str">
        <f>IF(Table1[[#This Row],[votes]]&gt;500000,"Yes","No")</f>
        <v>Yes</v>
      </c>
      <c r="N125" t="str">
        <f>IF(Table1[[#This Row],[year]]&lt;1980, "Classic", "Modern")</f>
        <v>Modern</v>
      </c>
    </row>
    <row r="126" spans="1:14" x14ac:dyDescent="0.35">
      <c r="A126" t="s">
        <v>346</v>
      </c>
      <c r="B126" t="s">
        <v>347</v>
      </c>
      <c r="C126">
        <v>1993</v>
      </c>
      <c r="D126">
        <v>127</v>
      </c>
      <c r="E126" t="s">
        <v>46</v>
      </c>
      <c r="F126">
        <v>8.1999999999999993</v>
      </c>
      <c r="G126">
        <v>1178216</v>
      </c>
      <c r="H126">
        <v>125</v>
      </c>
      <c r="I126" t="s">
        <v>26</v>
      </c>
      <c r="J126" t="s">
        <v>15</v>
      </c>
      <c r="K126" t="s">
        <v>16</v>
      </c>
      <c r="L126">
        <v>1.18</v>
      </c>
      <c r="M126" t="str">
        <f>IF(Table1[[#This Row],[votes]]&gt;500000,"Yes","No")</f>
        <v>Yes</v>
      </c>
      <c r="N126" t="str">
        <f>IF(Table1[[#This Row],[year]]&lt;1980, "Classic", "Modern")</f>
        <v>Modern</v>
      </c>
    </row>
    <row r="127" spans="1:14" x14ac:dyDescent="0.35">
      <c r="A127" t="s">
        <v>348</v>
      </c>
      <c r="B127" t="s">
        <v>349</v>
      </c>
      <c r="C127">
        <v>1999</v>
      </c>
      <c r="D127">
        <v>107</v>
      </c>
      <c r="E127" t="s">
        <v>189</v>
      </c>
      <c r="F127">
        <v>8.1999999999999993</v>
      </c>
      <c r="G127">
        <v>1145210</v>
      </c>
      <c r="H127">
        <v>126</v>
      </c>
      <c r="I127" t="s">
        <v>14</v>
      </c>
      <c r="J127" t="s">
        <v>15</v>
      </c>
      <c r="K127" t="s">
        <v>16</v>
      </c>
      <c r="L127">
        <v>1.1499999999999999</v>
      </c>
      <c r="M127" t="str">
        <f>IF(Table1[[#This Row],[votes]]&gt;500000,"Yes","No")</f>
        <v>Yes</v>
      </c>
      <c r="N127" t="str">
        <f>IF(Table1[[#This Row],[year]]&lt;1980, "Classic", "Modern")</f>
        <v>Modern</v>
      </c>
    </row>
    <row r="128" spans="1:14" x14ac:dyDescent="0.35">
      <c r="A128" t="s">
        <v>350</v>
      </c>
      <c r="B128" t="s">
        <v>351</v>
      </c>
      <c r="C128">
        <v>2001</v>
      </c>
      <c r="D128">
        <v>135</v>
      </c>
      <c r="E128" t="s">
        <v>352</v>
      </c>
      <c r="F128">
        <v>8.1999999999999993</v>
      </c>
      <c r="G128">
        <v>1053678</v>
      </c>
      <c r="H128">
        <v>127</v>
      </c>
      <c r="I128" t="s">
        <v>35</v>
      </c>
      <c r="J128" t="s">
        <v>27</v>
      </c>
      <c r="K128" t="s">
        <v>16</v>
      </c>
      <c r="L128">
        <v>1.05</v>
      </c>
      <c r="M128" t="str">
        <f>IF(Table1[[#This Row],[votes]]&gt;500000,"Yes","No")</f>
        <v>Yes</v>
      </c>
      <c r="N128" t="str">
        <f>IF(Table1[[#This Row],[year]]&lt;1980, "Classic", "Modern")</f>
        <v>Modern</v>
      </c>
    </row>
    <row r="129" spans="1:14" x14ac:dyDescent="0.35">
      <c r="A129" t="s">
        <v>353</v>
      </c>
      <c r="B129" t="s">
        <v>354</v>
      </c>
      <c r="C129">
        <v>2023</v>
      </c>
      <c r="D129">
        <v>180</v>
      </c>
      <c r="E129" t="s">
        <v>34</v>
      </c>
      <c r="F129">
        <v>8.1999999999999993</v>
      </c>
      <c r="G129">
        <v>1034385</v>
      </c>
      <c r="H129">
        <v>128</v>
      </c>
      <c r="I129" t="s">
        <v>35</v>
      </c>
      <c r="J129" t="s">
        <v>78</v>
      </c>
      <c r="K129" t="s">
        <v>22</v>
      </c>
      <c r="L129">
        <v>1.03</v>
      </c>
      <c r="M129" t="str">
        <f>IF(Table1[[#This Row],[votes]]&gt;500000,"Yes","No")</f>
        <v>Yes</v>
      </c>
      <c r="N129" t="str">
        <f>IF(Table1[[#This Row],[year]]&lt;1980, "Classic", "Modern")</f>
        <v>Modern</v>
      </c>
    </row>
    <row r="130" spans="1:14" x14ac:dyDescent="0.35">
      <c r="A130" t="s">
        <v>355</v>
      </c>
      <c r="B130" t="s">
        <v>356</v>
      </c>
      <c r="C130">
        <v>1988</v>
      </c>
      <c r="D130">
        <v>132</v>
      </c>
      <c r="E130" t="s">
        <v>357</v>
      </c>
      <c r="F130">
        <v>8.1999999999999993</v>
      </c>
      <c r="G130">
        <v>1030563</v>
      </c>
      <c r="H130">
        <v>129</v>
      </c>
      <c r="I130" t="s">
        <v>26</v>
      </c>
      <c r="J130" t="s">
        <v>71</v>
      </c>
      <c r="K130" t="s">
        <v>16</v>
      </c>
      <c r="L130">
        <v>1.03</v>
      </c>
      <c r="M130" t="str">
        <f>IF(Table1[[#This Row],[votes]]&gt;500000,"Yes","No")</f>
        <v>Yes</v>
      </c>
      <c r="N130" t="str">
        <f>IF(Table1[[#This Row],[year]]&lt;1980, "Classic", "Modern")</f>
        <v>Modern</v>
      </c>
    </row>
    <row r="131" spans="1:14" x14ac:dyDescent="0.35">
      <c r="A131" t="s">
        <v>358</v>
      </c>
      <c r="B131" t="s">
        <v>359</v>
      </c>
      <c r="C131">
        <v>1976</v>
      </c>
      <c r="D131">
        <v>114</v>
      </c>
      <c r="E131" t="s">
        <v>19</v>
      </c>
      <c r="F131">
        <v>8.1999999999999993</v>
      </c>
      <c r="G131">
        <v>1026896</v>
      </c>
      <c r="H131">
        <v>130</v>
      </c>
      <c r="I131" t="s">
        <v>20</v>
      </c>
      <c r="J131" t="s">
        <v>21</v>
      </c>
      <c r="K131" t="s">
        <v>16</v>
      </c>
      <c r="L131">
        <v>1.03</v>
      </c>
      <c r="M131" t="str">
        <f>IF(Table1[[#This Row],[votes]]&gt;500000,"Yes","No")</f>
        <v>Yes</v>
      </c>
      <c r="N131" t="str">
        <f>IF(Table1[[#This Row],[year]]&lt;1980, "Classic", "Modern")</f>
        <v>Classic</v>
      </c>
    </row>
    <row r="132" spans="1:14" x14ac:dyDescent="0.35">
      <c r="A132" t="s">
        <v>360</v>
      </c>
      <c r="B132" t="s">
        <v>361</v>
      </c>
      <c r="C132">
        <v>2000</v>
      </c>
      <c r="D132">
        <v>102</v>
      </c>
      <c r="E132" t="s">
        <v>362</v>
      </c>
      <c r="F132">
        <v>8.1999999999999993</v>
      </c>
      <c r="G132">
        <v>977367</v>
      </c>
      <c r="H132">
        <v>131</v>
      </c>
      <c r="I132" t="s">
        <v>105</v>
      </c>
      <c r="J132" t="s">
        <v>27</v>
      </c>
      <c r="K132" t="s">
        <v>16</v>
      </c>
      <c r="L132">
        <v>0.98</v>
      </c>
      <c r="M132" t="str">
        <f>IF(Table1[[#This Row],[votes]]&gt;500000,"Yes","No")</f>
        <v>Yes</v>
      </c>
      <c r="N132" t="str">
        <f>IF(Table1[[#This Row],[year]]&lt;1980, "Classic", "Modern")</f>
        <v>Modern</v>
      </c>
    </row>
    <row r="133" spans="1:14" x14ac:dyDescent="0.35">
      <c r="A133" t="s">
        <v>363</v>
      </c>
      <c r="B133" t="s">
        <v>364</v>
      </c>
      <c r="C133">
        <v>1971</v>
      </c>
      <c r="D133">
        <v>136</v>
      </c>
      <c r="E133" t="s">
        <v>365</v>
      </c>
      <c r="F133">
        <v>8.1999999999999993</v>
      </c>
      <c r="G133">
        <v>937111</v>
      </c>
      <c r="H133">
        <v>132</v>
      </c>
      <c r="I133" t="s">
        <v>20</v>
      </c>
      <c r="J133" t="s">
        <v>21</v>
      </c>
      <c r="K133" t="s">
        <v>16</v>
      </c>
      <c r="L133">
        <v>0.94</v>
      </c>
      <c r="M133" t="str">
        <f>IF(Table1[[#This Row],[votes]]&gt;500000,"Yes","No")</f>
        <v>Yes</v>
      </c>
      <c r="N133" t="str">
        <f>IF(Table1[[#This Row],[year]]&lt;1980, "Classic", "Modern")</f>
        <v>Classic</v>
      </c>
    </row>
    <row r="134" spans="1:14" x14ac:dyDescent="0.35">
      <c r="A134" t="s">
        <v>366</v>
      </c>
      <c r="B134" t="s">
        <v>367</v>
      </c>
      <c r="C134">
        <v>2013</v>
      </c>
      <c r="D134">
        <v>153</v>
      </c>
      <c r="E134" t="s">
        <v>81</v>
      </c>
      <c r="F134">
        <v>8.1999999999999993</v>
      </c>
      <c r="G134">
        <v>935467</v>
      </c>
      <c r="H134">
        <v>133</v>
      </c>
      <c r="I134" t="s">
        <v>20</v>
      </c>
      <c r="J134" t="s">
        <v>47</v>
      </c>
      <c r="K134" t="s">
        <v>22</v>
      </c>
      <c r="L134">
        <v>0.94</v>
      </c>
      <c r="M134" t="str">
        <f>IF(Table1[[#This Row],[votes]]&gt;500000,"Yes","No")</f>
        <v>Yes</v>
      </c>
      <c r="N134" t="str">
        <f>IF(Table1[[#This Row],[year]]&lt;1980, "Classic", "Modern")</f>
        <v>Modern</v>
      </c>
    </row>
    <row r="135" spans="1:14" x14ac:dyDescent="0.35">
      <c r="A135" t="s">
        <v>368</v>
      </c>
      <c r="B135" t="s">
        <v>369</v>
      </c>
      <c r="C135">
        <v>2022</v>
      </c>
      <c r="D135">
        <v>130</v>
      </c>
      <c r="E135" t="s">
        <v>112</v>
      </c>
      <c r="F135">
        <v>8.1999999999999993</v>
      </c>
      <c r="G135">
        <v>865893</v>
      </c>
      <c r="H135">
        <v>134</v>
      </c>
      <c r="I135" t="s">
        <v>26</v>
      </c>
      <c r="J135" t="s">
        <v>78</v>
      </c>
      <c r="K135" t="s">
        <v>16</v>
      </c>
      <c r="L135">
        <v>0.87</v>
      </c>
      <c r="M135" t="str">
        <f>IF(Table1[[#This Row],[votes]]&gt;500000,"Yes","No")</f>
        <v>Yes</v>
      </c>
      <c r="N135" t="str">
        <f>IF(Table1[[#This Row],[year]]&lt;1980, "Classic", "Modern")</f>
        <v>Modern</v>
      </c>
    </row>
    <row r="136" spans="1:14" x14ac:dyDescent="0.35">
      <c r="A136" t="s">
        <v>370</v>
      </c>
      <c r="B136" t="s">
        <v>371</v>
      </c>
      <c r="C136">
        <v>1989</v>
      </c>
      <c r="D136">
        <v>127</v>
      </c>
      <c r="E136" t="s">
        <v>201</v>
      </c>
      <c r="F136">
        <v>8.1999999999999993</v>
      </c>
      <c r="G136">
        <v>864109</v>
      </c>
      <c r="H136">
        <v>135</v>
      </c>
      <c r="I136" t="s">
        <v>26</v>
      </c>
      <c r="J136" t="s">
        <v>71</v>
      </c>
      <c r="K136" t="s">
        <v>16</v>
      </c>
      <c r="L136">
        <v>0.86</v>
      </c>
      <c r="M136" t="str">
        <f>IF(Table1[[#This Row],[votes]]&gt;500000,"Yes","No")</f>
        <v>Yes</v>
      </c>
      <c r="N136" t="str">
        <f>IF(Table1[[#This Row],[year]]&lt;1980, "Classic", "Modern")</f>
        <v>Modern</v>
      </c>
    </row>
    <row r="137" spans="1:14" x14ac:dyDescent="0.35">
      <c r="A137" t="s">
        <v>372</v>
      </c>
      <c r="B137" t="s">
        <v>373</v>
      </c>
      <c r="C137">
        <v>1987</v>
      </c>
      <c r="D137">
        <v>116</v>
      </c>
      <c r="E137" t="s">
        <v>87</v>
      </c>
      <c r="F137">
        <v>8.1999999999999993</v>
      </c>
      <c r="G137">
        <v>851432</v>
      </c>
      <c r="H137">
        <v>136</v>
      </c>
      <c r="I137" t="s">
        <v>14</v>
      </c>
      <c r="J137" t="s">
        <v>71</v>
      </c>
      <c r="K137" t="s">
        <v>16</v>
      </c>
      <c r="L137">
        <v>0.85</v>
      </c>
      <c r="M137" t="str">
        <f>IF(Table1[[#This Row],[votes]]&gt;500000,"Yes","No")</f>
        <v>Yes</v>
      </c>
      <c r="N137" t="str">
        <f>IF(Table1[[#This Row],[year]]&lt;1980, "Classic", "Modern")</f>
        <v>Modern</v>
      </c>
    </row>
    <row r="138" spans="1:14" x14ac:dyDescent="0.35">
      <c r="A138" t="s">
        <v>374</v>
      </c>
      <c r="B138">
        <v>1917</v>
      </c>
      <c r="C138">
        <v>2019</v>
      </c>
      <c r="D138">
        <v>119</v>
      </c>
      <c r="E138" t="s">
        <v>375</v>
      </c>
      <c r="F138">
        <v>8.1999999999999993</v>
      </c>
      <c r="G138">
        <v>771608</v>
      </c>
      <c r="H138">
        <v>137</v>
      </c>
      <c r="I138" t="s">
        <v>26</v>
      </c>
      <c r="J138" t="s">
        <v>47</v>
      </c>
      <c r="K138" t="s">
        <v>16</v>
      </c>
      <c r="L138">
        <v>0.77</v>
      </c>
      <c r="M138" t="str">
        <f>IF(Table1[[#This Row],[votes]]&gt;500000,"Yes","No")</f>
        <v>Yes</v>
      </c>
      <c r="N138" t="str">
        <f>IF(Table1[[#This Row],[year]]&lt;1980, "Classic", "Modern")</f>
        <v>Modern</v>
      </c>
    </row>
    <row r="139" spans="1:14" x14ac:dyDescent="0.35">
      <c r="A139" t="s">
        <v>376</v>
      </c>
      <c r="B139" t="s">
        <v>377</v>
      </c>
      <c r="C139">
        <v>2006</v>
      </c>
      <c r="D139">
        <v>118</v>
      </c>
      <c r="E139" t="s">
        <v>378</v>
      </c>
      <c r="F139">
        <v>8.1999999999999993</v>
      </c>
      <c r="G139">
        <v>746952</v>
      </c>
      <c r="H139">
        <v>138</v>
      </c>
      <c r="I139" t="s">
        <v>14</v>
      </c>
      <c r="J139" t="s">
        <v>27</v>
      </c>
      <c r="K139" t="s">
        <v>16</v>
      </c>
      <c r="L139">
        <v>0.75</v>
      </c>
      <c r="M139" t="str">
        <f>IF(Table1[[#This Row],[votes]]&gt;500000,"Yes","No")</f>
        <v>Yes</v>
      </c>
      <c r="N139" t="str">
        <f>IF(Table1[[#This Row],[year]]&lt;1980, "Classic", "Modern")</f>
        <v>Modern</v>
      </c>
    </row>
    <row r="140" spans="1:14" x14ac:dyDescent="0.35">
      <c r="A140" t="s">
        <v>379</v>
      </c>
      <c r="B140" t="s">
        <v>380</v>
      </c>
      <c r="C140">
        <v>2007</v>
      </c>
      <c r="D140">
        <v>158</v>
      </c>
      <c r="E140" t="s">
        <v>14</v>
      </c>
      <c r="F140">
        <v>8.1999999999999993</v>
      </c>
      <c r="G140">
        <v>708783</v>
      </c>
      <c r="H140">
        <v>139</v>
      </c>
      <c r="I140" t="s">
        <v>14</v>
      </c>
      <c r="J140" t="s">
        <v>27</v>
      </c>
      <c r="K140" t="s">
        <v>22</v>
      </c>
      <c r="L140">
        <v>0.71</v>
      </c>
      <c r="M140" t="str">
        <f>IF(Table1[[#This Row],[votes]]&gt;500000,"Yes","No")</f>
        <v>Yes</v>
      </c>
      <c r="N140" t="str">
        <f>IF(Table1[[#This Row],[year]]&lt;1980, "Classic", "Modern")</f>
        <v>Modern</v>
      </c>
    </row>
    <row r="141" spans="1:14" x14ac:dyDescent="0.35">
      <c r="A141" t="s">
        <v>381</v>
      </c>
      <c r="B141" t="s">
        <v>382</v>
      </c>
      <c r="C141">
        <v>2018</v>
      </c>
      <c r="D141">
        <v>130</v>
      </c>
      <c r="E141" t="s">
        <v>383</v>
      </c>
      <c r="F141">
        <v>8.1999999999999993</v>
      </c>
      <c r="G141">
        <v>686284</v>
      </c>
      <c r="H141">
        <v>140</v>
      </c>
      <c r="I141" t="s">
        <v>35</v>
      </c>
      <c r="J141" t="s">
        <v>47</v>
      </c>
      <c r="K141" t="s">
        <v>16</v>
      </c>
      <c r="L141">
        <v>0.69</v>
      </c>
      <c r="M141" t="str">
        <f>IF(Table1[[#This Row],[votes]]&gt;500000,"Yes","No")</f>
        <v>Yes</v>
      </c>
      <c r="N141" t="str">
        <f>IF(Table1[[#This Row],[year]]&lt;1980, "Classic", "Modern")</f>
        <v>Modern</v>
      </c>
    </row>
    <row r="142" spans="1:14" x14ac:dyDescent="0.35">
      <c r="A142" t="s">
        <v>384</v>
      </c>
      <c r="B142" t="s">
        <v>385</v>
      </c>
      <c r="C142">
        <v>1997</v>
      </c>
      <c r="D142">
        <v>138</v>
      </c>
      <c r="E142" t="s">
        <v>81</v>
      </c>
      <c r="F142">
        <v>8.1999999999999993</v>
      </c>
      <c r="G142">
        <v>659531</v>
      </c>
      <c r="H142">
        <v>141</v>
      </c>
      <c r="I142" t="s">
        <v>20</v>
      </c>
      <c r="J142" t="s">
        <v>15</v>
      </c>
      <c r="K142" t="s">
        <v>16</v>
      </c>
      <c r="L142">
        <v>0.66</v>
      </c>
      <c r="M142" t="str">
        <f>IF(Table1[[#This Row],[votes]]&gt;500000,"Yes","No")</f>
        <v>Yes</v>
      </c>
      <c r="N142" t="str">
        <f>IF(Table1[[#This Row],[year]]&lt;1980, "Classic", "Modern")</f>
        <v>Modern</v>
      </c>
    </row>
    <row r="143" spans="1:14" x14ac:dyDescent="0.35">
      <c r="A143" t="s">
        <v>386</v>
      </c>
      <c r="B143" t="s">
        <v>387</v>
      </c>
      <c r="C143">
        <v>1995</v>
      </c>
      <c r="D143">
        <v>178</v>
      </c>
      <c r="E143" t="s">
        <v>19</v>
      </c>
      <c r="F143">
        <v>8.1999999999999993</v>
      </c>
      <c r="G143">
        <v>619776</v>
      </c>
      <c r="H143">
        <v>142</v>
      </c>
      <c r="I143" t="s">
        <v>20</v>
      </c>
      <c r="J143" t="s">
        <v>15</v>
      </c>
      <c r="K143" t="s">
        <v>22</v>
      </c>
      <c r="L143">
        <v>0.62</v>
      </c>
      <c r="M143" t="str">
        <f>IF(Table1[[#This Row],[votes]]&gt;500000,"Yes","No")</f>
        <v>Yes</v>
      </c>
      <c r="N143" t="str">
        <f>IF(Table1[[#This Row],[year]]&lt;1980, "Classic", "Modern")</f>
        <v>Modern</v>
      </c>
    </row>
    <row r="144" spans="1:14" x14ac:dyDescent="0.35">
      <c r="A144" t="s">
        <v>388</v>
      </c>
      <c r="B144" t="s">
        <v>389</v>
      </c>
      <c r="C144">
        <v>1982</v>
      </c>
      <c r="D144">
        <v>109</v>
      </c>
      <c r="E144" t="s">
        <v>390</v>
      </c>
      <c r="F144">
        <v>8.1999999999999993</v>
      </c>
      <c r="G144">
        <v>526938</v>
      </c>
      <c r="H144">
        <v>143</v>
      </c>
      <c r="I144" t="s">
        <v>149</v>
      </c>
      <c r="J144" t="s">
        <v>71</v>
      </c>
      <c r="K144" t="s">
        <v>16</v>
      </c>
      <c r="L144">
        <v>0.53</v>
      </c>
      <c r="M144" t="str">
        <f>IF(Table1[[#This Row],[votes]]&gt;500000,"Yes","No")</f>
        <v>Yes</v>
      </c>
      <c r="N144" t="str">
        <f>IF(Table1[[#This Row],[year]]&lt;1980, "Classic", "Modern")</f>
        <v>Modern</v>
      </c>
    </row>
    <row r="145" spans="1:14" x14ac:dyDescent="0.35">
      <c r="A145" t="s">
        <v>391</v>
      </c>
      <c r="B145" t="s">
        <v>392</v>
      </c>
      <c r="C145">
        <v>2004</v>
      </c>
      <c r="D145">
        <v>119</v>
      </c>
      <c r="E145" t="s">
        <v>99</v>
      </c>
      <c r="F145">
        <v>8.1999999999999993</v>
      </c>
      <c r="G145">
        <v>512407</v>
      </c>
      <c r="H145">
        <v>144</v>
      </c>
      <c r="I145" t="s">
        <v>31</v>
      </c>
      <c r="J145" t="s">
        <v>27</v>
      </c>
      <c r="K145" t="s">
        <v>16</v>
      </c>
      <c r="L145">
        <v>0.51</v>
      </c>
      <c r="M145" t="str">
        <f>IF(Table1[[#This Row],[votes]]&gt;500000,"Yes","No")</f>
        <v>Yes</v>
      </c>
      <c r="N145" t="str">
        <f>IF(Table1[[#This Row],[year]]&lt;1980, "Classic", "Modern")</f>
        <v>Modern</v>
      </c>
    </row>
    <row r="146" spans="1:14" x14ac:dyDescent="0.35">
      <c r="A146" t="s">
        <v>393</v>
      </c>
      <c r="B146" t="s">
        <v>394</v>
      </c>
      <c r="C146">
        <v>1941</v>
      </c>
      <c r="D146">
        <v>119</v>
      </c>
      <c r="E146" t="s">
        <v>395</v>
      </c>
      <c r="F146">
        <v>8.1999999999999993</v>
      </c>
      <c r="G146">
        <v>493926</v>
      </c>
      <c r="H146">
        <v>145</v>
      </c>
      <c r="I146" t="s">
        <v>14</v>
      </c>
      <c r="J146" t="s">
        <v>109</v>
      </c>
      <c r="K146" t="s">
        <v>16</v>
      </c>
      <c r="L146">
        <v>0.49</v>
      </c>
      <c r="M146" t="str">
        <f>IF(Table1[[#This Row],[votes]]&gt;500000,"Yes","No")</f>
        <v>No</v>
      </c>
      <c r="N146" t="str">
        <f>IF(Table1[[#This Row],[year]]&lt;1980, "Classic", "Modern")</f>
        <v>Classic</v>
      </c>
    </row>
    <row r="147" spans="1:14" x14ac:dyDescent="0.35">
      <c r="A147" t="s">
        <v>396</v>
      </c>
      <c r="B147" t="s">
        <v>397</v>
      </c>
      <c r="C147">
        <v>1992</v>
      </c>
      <c r="D147">
        <v>130</v>
      </c>
      <c r="E147" t="s">
        <v>119</v>
      </c>
      <c r="F147">
        <v>8.1999999999999993</v>
      </c>
      <c r="G147">
        <v>469152</v>
      </c>
      <c r="H147">
        <v>146</v>
      </c>
      <c r="I147" t="s">
        <v>14</v>
      </c>
      <c r="J147" t="s">
        <v>15</v>
      </c>
      <c r="K147" t="s">
        <v>16</v>
      </c>
      <c r="L147">
        <v>0.47</v>
      </c>
      <c r="M147" t="str">
        <f>IF(Table1[[#This Row],[votes]]&gt;500000,"Yes","No")</f>
        <v>No</v>
      </c>
      <c r="N147" t="str">
        <f>IF(Table1[[#This Row],[year]]&lt;1980, "Classic", "Modern")</f>
        <v>Modern</v>
      </c>
    </row>
    <row r="148" spans="1:14" x14ac:dyDescent="0.35">
      <c r="A148" t="s">
        <v>398</v>
      </c>
      <c r="B148" t="s">
        <v>399</v>
      </c>
      <c r="C148">
        <v>1958</v>
      </c>
      <c r="D148">
        <v>128</v>
      </c>
      <c r="E148" t="s">
        <v>400</v>
      </c>
      <c r="F148">
        <v>8.1999999999999993</v>
      </c>
      <c r="G148">
        <v>459515</v>
      </c>
      <c r="H148">
        <v>147</v>
      </c>
      <c r="I148" t="s">
        <v>401</v>
      </c>
      <c r="J148" t="s">
        <v>40</v>
      </c>
      <c r="K148" t="s">
        <v>16</v>
      </c>
      <c r="L148">
        <v>0.46</v>
      </c>
      <c r="M148" t="str">
        <f>IF(Table1[[#This Row],[votes]]&gt;500000,"Yes","No")</f>
        <v>No</v>
      </c>
      <c r="N148" t="str">
        <f>IF(Table1[[#This Row],[year]]&lt;1980, "Classic", "Modern")</f>
        <v>Classic</v>
      </c>
    </row>
    <row r="149" spans="1:14" x14ac:dyDescent="0.35">
      <c r="A149" t="s">
        <v>402</v>
      </c>
      <c r="B149" t="s">
        <v>403</v>
      </c>
      <c r="C149">
        <v>2004</v>
      </c>
      <c r="D149">
        <v>156</v>
      </c>
      <c r="E149" t="s">
        <v>34</v>
      </c>
      <c r="F149">
        <v>8.1999999999999993</v>
      </c>
      <c r="G149">
        <v>400591</v>
      </c>
      <c r="H149">
        <v>148</v>
      </c>
      <c r="I149" t="s">
        <v>35</v>
      </c>
      <c r="J149" t="s">
        <v>27</v>
      </c>
      <c r="K149" t="s">
        <v>22</v>
      </c>
      <c r="L149">
        <v>0.4</v>
      </c>
      <c r="M149" t="str">
        <f>IF(Table1[[#This Row],[votes]]&gt;500000,"Yes","No")</f>
        <v>No</v>
      </c>
      <c r="N149" t="str">
        <f>IF(Table1[[#This Row],[year]]&lt;1980, "Classic", "Modern")</f>
        <v>Modern</v>
      </c>
    </row>
    <row r="150" spans="1:14" x14ac:dyDescent="0.35">
      <c r="A150" t="s">
        <v>404</v>
      </c>
      <c r="B150" t="s">
        <v>405</v>
      </c>
      <c r="C150">
        <v>1939</v>
      </c>
      <c r="D150">
        <v>238</v>
      </c>
      <c r="E150" t="s">
        <v>161</v>
      </c>
      <c r="F150">
        <v>8.1999999999999993</v>
      </c>
      <c r="G150">
        <v>356822</v>
      </c>
      <c r="H150">
        <v>149</v>
      </c>
      <c r="I150" t="s">
        <v>14</v>
      </c>
      <c r="J150" t="s">
        <v>177</v>
      </c>
      <c r="K150" t="s">
        <v>22</v>
      </c>
      <c r="L150">
        <v>0.36</v>
      </c>
      <c r="M150" t="str">
        <f>IF(Table1[[#This Row],[votes]]&gt;500000,"Yes","No")</f>
        <v>No</v>
      </c>
      <c r="N150" t="str">
        <f>IF(Table1[[#This Row],[year]]&lt;1980, "Classic", "Modern")</f>
        <v>Classic</v>
      </c>
    </row>
    <row r="151" spans="1:14" x14ac:dyDescent="0.35">
      <c r="A151" t="s">
        <v>406</v>
      </c>
      <c r="B151" t="s">
        <v>407</v>
      </c>
      <c r="C151">
        <v>1962</v>
      </c>
      <c r="D151">
        <v>129</v>
      </c>
      <c r="E151" t="s">
        <v>19</v>
      </c>
      <c r="F151">
        <v>8.1999999999999993</v>
      </c>
      <c r="G151">
        <v>351834</v>
      </c>
      <c r="H151">
        <v>150</v>
      </c>
      <c r="I151" t="s">
        <v>20</v>
      </c>
      <c r="J151" t="s">
        <v>61</v>
      </c>
      <c r="K151" t="s">
        <v>16</v>
      </c>
      <c r="L151">
        <v>0.35</v>
      </c>
      <c r="M151" t="str">
        <f>IF(Table1[[#This Row],[votes]]&gt;500000,"Yes","No")</f>
        <v>No</v>
      </c>
      <c r="N151" t="str">
        <f>IF(Table1[[#This Row],[year]]&lt;1980, "Classic", "Modern")</f>
        <v>Classic</v>
      </c>
    </row>
    <row r="152" spans="1:14" x14ac:dyDescent="0.35">
      <c r="A152" t="s">
        <v>408</v>
      </c>
      <c r="B152" t="s">
        <v>409</v>
      </c>
      <c r="C152">
        <v>1959</v>
      </c>
      <c r="D152">
        <v>121</v>
      </c>
      <c r="E152" t="s">
        <v>410</v>
      </c>
      <c r="F152">
        <v>8.1999999999999993</v>
      </c>
      <c r="G152">
        <v>305083</v>
      </c>
      <c r="H152">
        <v>151</v>
      </c>
      <c r="I152" t="s">
        <v>105</v>
      </c>
      <c r="J152" t="s">
        <v>40</v>
      </c>
      <c r="K152" t="s">
        <v>16</v>
      </c>
      <c r="L152">
        <v>0.31</v>
      </c>
      <c r="M152" t="str">
        <f>IF(Table1[[#This Row],[votes]]&gt;500000,"Yes","No")</f>
        <v>No</v>
      </c>
      <c r="N152" t="str">
        <f>IF(Table1[[#This Row],[year]]&lt;1980, "Classic", "Modern")</f>
        <v>Classic</v>
      </c>
    </row>
    <row r="153" spans="1:14" x14ac:dyDescent="0.35">
      <c r="A153" t="s">
        <v>411</v>
      </c>
      <c r="B153" t="s">
        <v>412</v>
      </c>
      <c r="C153">
        <v>1973</v>
      </c>
      <c r="D153">
        <v>129</v>
      </c>
      <c r="E153" t="s">
        <v>413</v>
      </c>
      <c r="F153">
        <v>8.1999999999999993</v>
      </c>
      <c r="G153">
        <v>301663</v>
      </c>
      <c r="H153">
        <v>152</v>
      </c>
      <c r="I153" t="s">
        <v>105</v>
      </c>
      <c r="J153" t="s">
        <v>21</v>
      </c>
      <c r="K153" t="s">
        <v>16</v>
      </c>
      <c r="L153">
        <v>0.3</v>
      </c>
      <c r="M153" t="str">
        <f>IF(Table1[[#This Row],[votes]]&gt;500000,"Yes","No")</f>
        <v>No</v>
      </c>
      <c r="N153" t="str">
        <f>IF(Table1[[#This Row],[year]]&lt;1980, "Classic", "Modern")</f>
        <v>Classic</v>
      </c>
    </row>
    <row r="154" spans="1:14" x14ac:dyDescent="0.35">
      <c r="A154" t="s">
        <v>414</v>
      </c>
      <c r="B154" t="s">
        <v>415</v>
      </c>
      <c r="C154">
        <v>1965</v>
      </c>
      <c r="D154">
        <v>132</v>
      </c>
      <c r="E154" t="s">
        <v>119</v>
      </c>
      <c r="F154">
        <v>8.1999999999999993</v>
      </c>
      <c r="G154">
        <v>300343</v>
      </c>
      <c r="H154">
        <v>153</v>
      </c>
      <c r="I154" t="s">
        <v>14</v>
      </c>
      <c r="J154" t="s">
        <v>61</v>
      </c>
      <c r="K154" t="s">
        <v>16</v>
      </c>
      <c r="L154">
        <v>0.3</v>
      </c>
      <c r="M154" t="str">
        <f>IF(Table1[[#This Row],[votes]]&gt;500000,"Yes","No")</f>
        <v>No</v>
      </c>
      <c r="N154" t="str">
        <f>IF(Table1[[#This Row],[year]]&lt;1980, "Classic", "Modern")</f>
        <v>Classic</v>
      </c>
    </row>
    <row r="155" spans="1:14" x14ac:dyDescent="0.35">
      <c r="A155" t="s">
        <v>416</v>
      </c>
      <c r="B155" t="s">
        <v>417</v>
      </c>
      <c r="C155">
        <v>1980</v>
      </c>
      <c r="D155">
        <v>124</v>
      </c>
      <c r="E155" t="s">
        <v>77</v>
      </c>
      <c r="F155">
        <v>8.1999999999999993</v>
      </c>
      <c r="G155">
        <v>282613</v>
      </c>
      <c r="H155">
        <v>154</v>
      </c>
      <c r="I155" t="s">
        <v>35</v>
      </c>
      <c r="J155" t="s">
        <v>71</v>
      </c>
      <c r="K155" t="s">
        <v>16</v>
      </c>
      <c r="L155">
        <v>0.28000000000000003</v>
      </c>
      <c r="M155" t="str">
        <f>IF(Table1[[#This Row],[votes]]&gt;500000,"Yes","No")</f>
        <v>No</v>
      </c>
      <c r="N155" t="str">
        <f>IF(Table1[[#This Row],[year]]&lt;1980, "Classic", "Modern")</f>
        <v>Modern</v>
      </c>
    </row>
    <row r="156" spans="1:14" x14ac:dyDescent="0.35">
      <c r="A156" t="s">
        <v>418</v>
      </c>
      <c r="B156" t="s">
        <v>419</v>
      </c>
      <c r="C156">
        <v>1963</v>
      </c>
      <c r="D156">
        <v>172</v>
      </c>
      <c r="E156" t="s">
        <v>420</v>
      </c>
      <c r="F156">
        <v>8.1999999999999993</v>
      </c>
      <c r="G156">
        <v>277858</v>
      </c>
      <c r="H156">
        <v>155</v>
      </c>
      <c r="I156" t="s">
        <v>31</v>
      </c>
      <c r="J156" t="s">
        <v>61</v>
      </c>
      <c r="K156" t="s">
        <v>22</v>
      </c>
      <c r="L156">
        <v>0.28000000000000003</v>
      </c>
      <c r="M156" t="str">
        <f>IF(Table1[[#This Row],[votes]]&gt;500000,"Yes","No")</f>
        <v>No</v>
      </c>
      <c r="N156" t="str">
        <f>IF(Table1[[#This Row],[year]]&lt;1980, "Classic", "Modern")</f>
        <v>Classic</v>
      </c>
    </row>
    <row r="157" spans="1:14" x14ac:dyDescent="0.35">
      <c r="A157" t="s">
        <v>421</v>
      </c>
      <c r="B157" t="s">
        <v>422</v>
      </c>
      <c r="C157">
        <v>2020</v>
      </c>
      <c r="D157">
        <v>97</v>
      </c>
      <c r="E157" t="s">
        <v>395</v>
      </c>
      <c r="F157">
        <v>8.1999999999999993</v>
      </c>
      <c r="G157">
        <v>245274</v>
      </c>
      <c r="H157">
        <v>156</v>
      </c>
      <c r="I157" t="s">
        <v>14</v>
      </c>
      <c r="J157" t="s">
        <v>78</v>
      </c>
      <c r="K157" t="s">
        <v>41</v>
      </c>
      <c r="L157">
        <v>0.25</v>
      </c>
      <c r="M157" t="str">
        <f>IF(Table1[[#This Row],[votes]]&gt;500000,"Yes","No")</f>
        <v>No</v>
      </c>
      <c r="N157" t="str">
        <f>IF(Table1[[#This Row],[year]]&lt;1980, "Classic", "Modern")</f>
        <v>Modern</v>
      </c>
    </row>
    <row r="158" spans="1:14" x14ac:dyDescent="0.35">
      <c r="A158" t="s">
        <v>423</v>
      </c>
      <c r="B158" t="s">
        <v>424</v>
      </c>
      <c r="C158">
        <v>2009</v>
      </c>
      <c r="D158">
        <v>129</v>
      </c>
      <c r="E158" t="s">
        <v>425</v>
      </c>
      <c r="F158">
        <v>8.1999999999999993</v>
      </c>
      <c r="G158">
        <v>242372</v>
      </c>
      <c r="H158">
        <v>157</v>
      </c>
      <c r="I158" t="s">
        <v>14</v>
      </c>
      <c r="J158" t="s">
        <v>27</v>
      </c>
      <c r="K158" t="s">
        <v>16</v>
      </c>
      <c r="L158">
        <v>0.24</v>
      </c>
      <c r="M158" t="str">
        <f>IF(Table1[[#This Row],[votes]]&gt;500000,"Yes","No")</f>
        <v>No</v>
      </c>
      <c r="N158" t="str">
        <f>IF(Table1[[#This Row],[year]]&lt;1980, "Classic", "Modern")</f>
        <v>Modern</v>
      </c>
    </row>
    <row r="159" spans="1:14" x14ac:dyDescent="0.35">
      <c r="A159" t="s">
        <v>426</v>
      </c>
      <c r="B159" t="s">
        <v>427</v>
      </c>
      <c r="C159">
        <v>2019</v>
      </c>
      <c r="D159">
        <v>96</v>
      </c>
      <c r="E159" t="s">
        <v>243</v>
      </c>
      <c r="F159">
        <v>8.1999999999999993</v>
      </c>
      <c r="G159">
        <v>236923</v>
      </c>
      <c r="H159">
        <v>158</v>
      </c>
      <c r="I159" t="s">
        <v>31</v>
      </c>
      <c r="J159" t="s">
        <v>47</v>
      </c>
      <c r="K159" t="s">
        <v>41</v>
      </c>
      <c r="L159">
        <v>0.24</v>
      </c>
      <c r="M159" t="str">
        <f>IF(Table1[[#This Row],[votes]]&gt;500000,"Yes","No")</f>
        <v>No</v>
      </c>
      <c r="N159" t="str">
        <f>IF(Table1[[#This Row],[year]]&lt;1980, "Classic", "Modern")</f>
        <v>Modern</v>
      </c>
    </row>
    <row r="160" spans="1:14" x14ac:dyDescent="0.35">
      <c r="A160" t="s">
        <v>428</v>
      </c>
      <c r="B160" t="s">
        <v>429</v>
      </c>
      <c r="C160">
        <v>2024</v>
      </c>
      <c r="D160">
        <v>102</v>
      </c>
      <c r="E160" t="s">
        <v>99</v>
      </c>
      <c r="F160">
        <v>8.1999999999999993</v>
      </c>
      <c r="G160">
        <v>224161</v>
      </c>
      <c r="H160">
        <v>159</v>
      </c>
      <c r="I160" t="s">
        <v>31</v>
      </c>
      <c r="J160" t="s">
        <v>78</v>
      </c>
      <c r="K160" t="s">
        <v>16</v>
      </c>
      <c r="L160">
        <v>0.22</v>
      </c>
      <c r="M160" t="str">
        <f>IF(Table1[[#This Row],[votes]]&gt;500000,"Yes","No")</f>
        <v>No</v>
      </c>
      <c r="N160" t="str">
        <f>IF(Table1[[#This Row],[year]]&lt;1980, "Classic", "Modern")</f>
        <v>Modern</v>
      </c>
    </row>
    <row r="161" spans="1:14" x14ac:dyDescent="0.35">
      <c r="A161" t="s">
        <v>430</v>
      </c>
      <c r="B161" t="s">
        <v>431</v>
      </c>
      <c r="C161">
        <v>1927</v>
      </c>
      <c r="D161">
        <v>153</v>
      </c>
      <c r="E161" t="s">
        <v>432</v>
      </c>
      <c r="F161">
        <v>8.1999999999999993</v>
      </c>
      <c r="G161">
        <v>201356</v>
      </c>
      <c r="H161">
        <v>160</v>
      </c>
      <c r="I161" t="s">
        <v>14</v>
      </c>
      <c r="J161" t="s">
        <v>433</v>
      </c>
      <c r="K161" t="s">
        <v>22</v>
      </c>
      <c r="L161">
        <v>0.2</v>
      </c>
      <c r="M161" t="str">
        <f>IF(Table1[[#This Row],[votes]]&gt;500000,"Yes","No")</f>
        <v>No</v>
      </c>
      <c r="N161" t="str">
        <f>IF(Table1[[#This Row],[year]]&lt;1980, "Classic", "Modern")</f>
        <v>Classic</v>
      </c>
    </row>
    <row r="162" spans="1:14" x14ac:dyDescent="0.35">
      <c r="A162" t="s">
        <v>434</v>
      </c>
      <c r="B162" t="s">
        <v>435</v>
      </c>
      <c r="C162">
        <v>1948</v>
      </c>
      <c r="D162">
        <v>89</v>
      </c>
      <c r="E162" t="s">
        <v>14</v>
      </c>
      <c r="F162">
        <v>8.1999999999999993</v>
      </c>
      <c r="G162">
        <v>192765</v>
      </c>
      <c r="H162">
        <v>161</v>
      </c>
      <c r="I162" t="s">
        <v>14</v>
      </c>
      <c r="J162" t="s">
        <v>109</v>
      </c>
      <c r="K162" t="s">
        <v>41</v>
      </c>
      <c r="L162">
        <v>0.19</v>
      </c>
      <c r="M162" t="str">
        <f>IF(Table1[[#This Row],[votes]]&gt;500000,"Yes","No")</f>
        <v>No</v>
      </c>
      <c r="N162" t="str">
        <f>IF(Table1[[#This Row],[year]]&lt;1980, "Classic", "Modern")</f>
        <v>Classic</v>
      </c>
    </row>
    <row r="163" spans="1:14" x14ac:dyDescent="0.35">
      <c r="A163" t="s">
        <v>436</v>
      </c>
      <c r="B163" t="s">
        <v>437</v>
      </c>
      <c r="C163">
        <v>2022</v>
      </c>
      <c r="D163">
        <v>166</v>
      </c>
      <c r="E163" t="s">
        <v>25</v>
      </c>
      <c r="F163">
        <v>8.1999999999999993</v>
      </c>
      <c r="G163">
        <v>169670</v>
      </c>
      <c r="H163">
        <v>162</v>
      </c>
      <c r="I163" t="s">
        <v>26</v>
      </c>
      <c r="J163" t="s">
        <v>78</v>
      </c>
      <c r="K163" t="s">
        <v>22</v>
      </c>
      <c r="L163">
        <v>0.17</v>
      </c>
      <c r="M163" t="str">
        <f>IF(Table1[[#This Row],[votes]]&gt;500000,"Yes","No")</f>
        <v>No</v>
      </c>
      <c r="N163" t="str">
        <f>IF(Table1[[#This Row],[year]]&lt;1980, "Classic", "Modern")</f>
        <v>Modern</v>
      </c>
    </row>
    <row r="164" spans="1:14" x14ac:dyDescent="0.35">
      <c r="A164" t="s">
        <v>438</v>
      </c>
      <c r="B164" t="s">
        <v>439</v>
      </c>
      <c r="C164">
        <v>1985</v>
      </c>
      <c r="D164">
        <v>160</v>
      </c>
      <c r="E164" t="s">
        <v>375</v>
      </c>
      <c r="F164">
        <v>8.1999999999999993</v>
      </c>
      <c r="G164">
        <v>152151</v>
      </c>
      <c r="H164">
        <v>163</v>
      </c>
      <c r="I164" t="s">
        <v>26</v>
      </c>
      <c r="J164" t="s">
        <v>71</v>
      </c>
      <c r="K164" t="s">
        <v>22</v>
      </c>
      <c r="L164">
        <v>0.15</v>
      </c>
      <c r="M164" t="str">
        <f>IF(Table1[[#This Row],[votes]]&gt;500000,"Yes","No")</f>
        <v>No</v>
      </c>
      <c r="N164" t="str">
        <f>IF(Table1[[#This Row],[year]]&lt;1980, "Classic", "Modern")</f>
        <v>Modern</v>
      </c>
    </row>
    <row r="165" spans="1:14" x14ac:dyDescent="0.35">
      <c r="A165" t="s">
        <v>440</v>
      </c>
      <c r="B165" t="s">
        <v>441</v>
      </c>
      <c r="C165">
        <v>1950</v>
      </c>
      <c r="D165">
        <v>138</v>
      </c>
      <c r="E165" t="s">
        <v>14</v>
      </c>
      <c r="F165">
        <v>8.1999999999999993</v>
      </c>
      <c r="G165">
        <v>149368</v>
      </c>
      <c r="H165">
        <v>164</v>
      </c>
      <c r="I165" t="s">
        <v>14</v>
      </c>
      <c r="J165" t="s">
        <v>40</v>
      </c>
      <c r="K165" t="s">
        <v>16</v>
      </c>
      <c r="L165">
        <v>0.15</v>
      </c>
      <c r="M165" t="str">
        <f>IF(Table1[[#This Row],[votes]]&gt;500000,"Yes","No")</f>
        <v>No</v>
      </c>
      <c r="N165" t="str">
        <f>IF(Table1[[#This Row],[year]]&lt;1980, "Classic", "Modern")</f>
        <v>Classic</v>
      </c>
    </row>
    <row r="166" spans="1:14" x14ac:dyDescent="0.35">
      <c r="A166" t="s">
        <v>442</v>
      </c>
      <c r="B166" t="s">
        <v>443</v>
      </c>
      <c r="C166">
        <v>1921</v>
      </c>
      <c r="D166">
        <v>68</v>
      </c>
      <c r="E166" t="s">
        <v>444</v>
      </c>
      <c r="F166">
        <v>8.1999999999999993</v>
      </c>
      <c r="G166">
        <v>145736</v>
      </c>
      <c r="H166">
        <v>165</v>
      </c>
      <c r="I166" t="s">
        <v>105</v>
      </c>
      <c r="J166" t="s">
        <v>433</v>
      </c>
      <c r="K166" t="s">
        <v>41</v>
      </c>
      <c r="L166">
        <v>0.15</v>
      </c>
      <c r="M166" t="str">
        <f>IF(Table1[[#This Row],[votes]]&gt;500000,"Yes","No")</f>
        <v>No</v>
      </c>
      <c r="N166" t="str">
        <f>IF(Table1[[#This Row],[year]]&lt;1980, "Classic", "Modern")</f>
        <v>Classic</v>
      </c>
    </row>
    <row r="167" spans="1:14" x14ac:dyDescent="0.35">
      <c r="A167" t="s">
        <v>445</v>
      </c>
      <c r="B167" t="s">
        <v>446</v>
      </c>
      <c r="C167">
        <v>1961</v>
      </c>
      <c r="D167">
        <v>110</v>
      </c>
      <c r="E167" t="s">
        <v>447</v>
      </c>
      <c r="F167">
        <v>8.1999999999999993</v>
      </c>
      <c r="G167">
        <v>143151</v>
      </c>
      <c r="H167">
        <v>166</v>
      </c>
      <c r="I167" t="s">
        <v>26</v>
      </c>
      <c r="J167" t="s">
        <v>61</v>
      </c>
      <c r="K167" t="s">
        <v>16</v>
      </c>
      <c r="L167">
        <v>0.14000000000000001</v>
      </c>
      <c r="M167" t="str">
        <f>IF(Table1[[#This Row],[votes]]&gt;500000,"Yes","No")</f>
        <v>No</v>
      </c>
      <c r="N167" t="str">
        <f>IF(Table1[[#This Row],[year]]&lt;1980, "Classic", "Modern")</f>
        <v>Classic</v>
      </c>
    </row>
    <row r="168" spans="1:14" x14ac:dyDescent="0.35">
      <c r="A168" t="s">
        <v>448</v>
      </c>
      <c r="B168" t="s">
        <v>449</v>
      </c>
      <c r="C168">
        <v>2016</v>
      </c>
      <c r="D168">
        <v>130</v>
      </c>
      <c r="E168" t="s">
        <v>450</v>
      </c>
      <c r="F168">
        <v>8.1999999999999993</v>
      </c>
      <c r="G168">
        <v>142034</v>
      </c>
      <c r="H168">
        <v>167</v>
      </c>
      <c r="I168" t="s">
        <v>170</v>
      </c>
      <c r="J168" t="s">
        <v>47</v>
      </c>
      <c r="K168" t="s">
        <v>16</v>
      </c>
      <c r="L168">
        <v>0.14000000000000001</v>
      </c>
      <c r="M168" t="str">
        <f>IF(Table1[[#This Row],[votes]]&gt;500000,"Yes","No")</f>
        <v>No</v>
      </c>
      <c r="N168" t="str">
        <f>IF(Table1[[#This Row],[year]]&lt;1980, "Classic", "Modern")</f>
        <v>Modern</v>
      </c>
    </row>
    <row r="169" spans="1:14" x14ac:dyDescent="0.35">
      <c r="A169" t="s">
        <v>451</v>
      </c>
      <c r="B169" t="s">
        <v>452</v>
      </c>
      <c r="C169">
        <v>1948</v>
      </c>
      <c r="D169">
        <v>126</v>
      </c>
      <c r="E169" t="s">
        <v>60</v>
      </c>
      <c r="F169">
        <v>8.1999999999999993</v>
      </c>
      <c r="G169">
        <v>141529</v>
      </c>
      <c r="H169">
        <v>168</v>
      </c>
      <c r="I169" t="s">
        <v>31</v>
      </c>
      <c r="J169" t="s">
        <v>109</v>
      </c>
      <c r="K169" t="s">
        <v>16</v>
      </c>
      <c r="L169">
        <v>0.14000000000000001</v>
      </c>
      <c r="M169" t="str">
        <f>IF(Table1[[#This Row],[votes]]&gt;500000,"Yes","No")</f>
        <v>No</v>
      </c>
      <c r="N169" t="str">
        <f>IF(Table1[[#This Row],[year]]&lt;1980, "Classic", "Modern")</f>
        <v>Classic</v>
      </c>
    </row>
    <row r="170" spans="1:14" x14ac:dyDescent="0.35">
      <c r="A170" t="s">
        <v>453</v>
      </c>
      <c r="B170" t="s">
        <v>454</v>
      </c>
      <c r="C170">
        <v>2017</v>
      </c>
      <c r="D170">
        <v>167</v>
      </c>
      <c r="E170" t="s">
        <v>112</v>
      </c>
      <c r="F170">
        <v>8.1999999999999993</v>
      </c>
      <c r="G170">
        <v>134129</v>
      </c>
      <c r="H170">
        <v>169</v>
      </c>
      <c r="I170" t="s">
        <v>26</v>
      </c>
      <c r="J170" t="s">
        <v>47</v>
      </c>
      <c r="K170" t="s">
        <v>22</v>
      </c>
      <c r="L170">
        <v>0.13</v>
      </c>
      <c r="M170" t="str">
        <f>IF(Table1[[#This Row],[votes]]&gt;500000,"Yes","No")</f>
        <v>No</v>
      </c>
      <c r="N170" t="str">
        <f>IF(Table1[[#This Row],[year]]&lt;1980, "Classic", "Modern")</f>
        <v>Modern</v>
      </c>
    </row>
    <row r="171" spans="1:14" x14ac:dyDescent="0.35">
      <c r="A171" t="s">
        <v>455</v>
      </c>
      <c r="B171" t="s">
        <v>456</v>
      </c>
      <c r="C171">
        <v>2018</v>
      </c>
      <c r="D171">
        <v>139</v>
      </c>
      <c r="E171" t="s">
        <v>457</v>
      </c>
      <c r="F171">
        <v>8.1999999999999993</v>
      </c>
      <c r="G171">
        <v>116277</v>
      </c>
      <c r="H171">
        <v>170</v>
      </c>
      <c r="I171" t="s">
        <v>105</v>
      </c>
      <c r="J171" t="s">
        <v>47</v>
      </c>
      <c r="K171" t="s">
        <v>16</v>
      </c>
      <c r="L171">
        <v>0.12</v>
      </c>
      <c r="M171" t="str">
        <f>IF(Table1[[#This Row],[votes]]&gt;500000,"Yes","No")</f>
        <v>No</v>
      </c>
      <c r="N171" t="str">
        <f>IF(Table1[[#This Row],[year]]&lt;1980, "Classic", "Modern")</f>
        <v>Modern</v>
      </c>
    </row>
    <row r="172" spans="1:14" x14ac:dyDescent="0.35">
      <c r="A172" t="s">
        <v>458</v>
      </c>
      <c r="B172" t="s">
        <v>459</v>
      </c>
      <c r="C172">
        <v>2012</v>
      </c>
      <c r="D172">
        <v>321</v>
      </c>
      <c r="E172" t="s">
        <v>460</v>
      </c>
      <c r="F172">
        <v>8.1999999999999993</v>
      </c>
      <c r="G172">
        <v>114291</v>
      </c>
      <c r="H172">
        <v>171</v>
      </c>
      <c r="I172" t="s">
        <v>26</v>
      </c>
      <c r="J172" t="s">
        <v>47</v>
      </c>
      <c r="K172" t="s">
        <v>22</v>
      </c>
      <c r="L172">
        <v>0.11</v>
      </c>
      <c r="M172" t="str">
        <f>IF(Table1[[#This Row],[votes]]&gt;500000,"Yes","No")</f>
        <v>No</v>
      </c>
      <c r="N172" t="str">
        <f>IF(Table1[[#This Row],[year]]&lt;1980, "Classic", "Modern")</f>
        <v>Modern</v>
      </c>
    </row>
    <row r="173" spans="1:14" x14ac:dyDescent="0.35">
      <c r="A173" t="s">
        <v>461</v>
      </c>
      <c r="B173" t="s">
        <v>462</v>
      </c>
      <c r="C173">
        <v>2015</v>
      </c>
      <c r="D173">
        <v>163</v>
      </c>
      <c r="E173" t="s">
        <v>81</v>
      </c>
      <c r="F173">
        <v>8.1999999999999993</v>
      </c>
      <c r="G173">
        <v>109016</v>
      </c>
      <c r="H173">
        <v>172</v>
      </c>
      <c r="I173" t="s">
        <v>20</v>
      </c>
      <c r="J173" t="s">
        <v>47</v>
      </c>
      <c r="K173" t="s">
        <v>22</v>
      </c>
      <c r="L173">
        <v>0.11</v>
      </c>
      <c r="M173" t="str">
        <f>IF(Table1[[#This Row],[votes]]&gt;500000,"Yes","No")</f>
        <v>No</v>
      </c>
      <c r="N173" t="str">
        <f>IF(Table1[[#This Row],[year]]&lt;1980, "Classic", "Modern")</f>
        <v>Modern</v>
      </c>
    </row>
    <row r="174" spans="1:14" x14ac:dyDescent="0.35">
      <c r="A174" t="s">
        <v>463</v>
      </c>
      <c r="B174" t="s">
        <v>464</v>
      </c>
      <c r="C174">
        <v>2004</v>
      </c>
      <c r="D174">
        <v>189</v>
      </c>
      <c r="E174" t="s">
        <v>465</v>
      </c>
      <c r="F174">
        <v>8.1999999999999993</v>
      </c>
      <c r="G174">
        <v>106126</v>
      </c>
      <c r="H174">
        <v>173</v>
      </c>
      <c r="I174" t="s">
        <v>14</v>
      </c>
      <c r="J174" t="s">
        <v>27</v>
      </c>
      <c r="K174" t="s">
        <v>22</v>
      </c>
      <c r="L174">
        <v>0.11</v>
      </c>
      <c r="M174" t="str">
        <f>IF(Table1[[#This Row],[votes]]&gt;500000,"Yes","No")</f>
        <v>No</v>
      </c>
      <c r="N174" t="str">
        <f>IF(Table1[[#This Row],[year]]&lt;1980, "Classic", "Modern")</f>
        <v>Modern</v>
      </c>
    </row>
    <row r="175" spans="1:14" x14ac:dyDescent="0.35">
      <c r="A175" t="s">
        <v>466</v>
      </c>
      <c r="B175" t="s">
        <v>467</v>
      </c>
      <c r="C175">
        <v>2005</v>
      </c>
      <c r="D175">
        <v>112</v>
      </c>
      <c r="E175" t="s">
        <v>14</v>
      </c>
      <c r="F175">
        <v>8.1999999999999993</v>
      </c>
      <c r="G175">
        <v>100894</v>
      </c>
      <c r="H175">
        <v>174</v>
      </c>
      <c r="I175" t="s">
        <v>14</v>
      </c>
      <c r="J175" t="s">
        <v>27</v>
      </c>
      <c r="K175" t="s">
        <v>16</v>
      </c>
      <c r="L175">
        <v>0.1</v>
      </c>
      <c r="M175" t="str">
        <f>IF(Table1[[#This Row],[votes]]&gt;500000,"Yes","No")</f>
        <v>No</v>
      </c>
      <c r="N175" t="str">
        <f>IF(Table1[[#This Row],[year]]&lt;1980, "Classic", "Modern")</f>
        <v>Modern</v>
      </c>
    </row>
    <row r="176" spans="1:14" x14ac:dyDescent="0.35">
      <c r="A176" t="s">
        <v>468</v>
      </c>
      <c r="B176" t="s">
        <v>469</v>
      </c>
      <c r="C176">
        <v>2020</v>
      </c>
      <c r="D176">
        <v>117</v>
      </c>
      <c r="E176" t="s">
        <v>166</v>
      </c>
      <c r="F176">
        <v>8.1999999999999993</v>
      </c>
      <c r="G176">
        <v>100755</v>
      </c>
      <c r="H176">
        <v>175</v>
      </c>
      <c r="I176" t="s">
        <v>26</v>
      </c>
      <c r="J176" t="s">
        <v>78</v>
      </c>
      <c r="K176" t="s">
        <v>16</v>
      </c>
      <c r="L176">
        <v>0.1</v>
      </c>
      <c r="M176" t="str">
        <f>IF(Table1[[#This Row],[votes]]&gt;500000,"Yes","No")</f>
        <v>No</v>
      </c>
      <c r="N176" t="str">
        <f>IF(Table1[[#This Row],[year]]&lt;1980, "Classic", "Modern")</f>
        <v>Modern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>
      <selection activeCell="B19" sqref="B19"/>
    </sheetView>
  </sheetViews>
  <sheetFormatPr defaultRowHeight="14.5" x14ac:dyDescent="0.35"/>
  <cols>
    <col min="1" max="1" width="31.6328125" bestFit="1" customWidth="1"/>
    <col min="2" max="2" width="24.6328125" bestFit="1" customWidth="1"/>
  </cols>
  <sheetData>
    <row r="1" spans="1:2" ht="18.5" x14ac:dyDescent="0.45">
      <c r="A1" s="3" t="s">
        <v>478</v>
      </c>
      <c r="B1" s="2"/>
    </row>
    <row r="2" spans="1:2" x14ac:dyDescent="0.35">
      <c r="A2" t="s">
        <v>470</v>
      </c>
      <c r="B2">
        <f>COUNTIF(imdb!I:I, "Drama")</f>
        <v>50</v>
      </c>
    </row>
    <row r="3" spans="1:2" x14ac:dyDescent="0.35">
      <c r="A3" t="s">
        <v>471</v>
      </c>
      <c r="B3" s="1">
        <f>AVERAGEIF(imdb!I:I, "Drama", imdb!F:F)</f>
        <v>8.3759999999999994</v>
      </c>
    </row>
    <row r="4" spans="1:2" x14ac:dyDescent="0.35">
      <c r="A4" t="s">
        <v>472</v>
      </c>
      <c r="B4">
        <f>MAX(imdb!F:F)</f>
        <v>9.3000000000000007</v>
      </c>
    </row>
    <row r="5" spans="1:2" x14ac:dyDescent="0.35">
      <c r="A5" t="s">
        <v>474</v>
      </c>
      <c r="B5" t="str">
        <f>INDEX(imdb!B:B,MATCH(MAX(imdb!F:F),imdb!F:F,0))</f>
        <v>The Shawshank Redemption</v>
      </c>
    </row>
    <row r="6" spans="1:2" x14ac:dyDescent="0.35">
      <c r="A6" t="s">
        <v>475</v>
      </c>
      <c r="B6">
        <f>COUNTIF(imdb!M:M, "Yes")</f>
        <v>105</v>
      </c>
    </row>
    <row r="7" spans="1:2" x14ac:dyDescent="0.35">
      <c r="A7" t="s">
        <v>476</v>
      </c>
      <c r="B7">
        <f>COUNTIF(imdb!N:N, "Classic")</f>
        <v>45</v>
      </c>
    </row>
  </sheetData>
  <mergeCells count="1">
    <mergeCell ref="A1:B1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6"/>
  <sheetViews>
    <sheetView workbookViewId="0">
      <selection activeCell="F4" sqref="F4"/>
    </sheetView>
  </sheetViews>
  <sheetFormatPr defaultRowHeight="14.5" x14ac:dyDescent="0.35"/>
  <cols>
    <col min="1" max="1" width="12.36328125" bestFit="1" customWidth="1"/>
    <col min="2" max="2" width="11.90625" bestFit="1" customWidth="1"/>
  </cols>
  <sheetData>
    <row r="3" spans="1:2" x14ac:dyDescent="0.35">
      <c r="A3" s="4" t="s">
        <v>479</v>
      </c>
      <c r="B3" t="s">
        <v>483</v>
      </c>
    </row>
    <row r="4" spans="1:2" x14ac:dyDescent="0.35">
      <c r="A4" s="5" t="s">
        <v>494</v>
      </c>
      <c r="B4" s="6">
        <v>70</v>
      </c>
    </row>
    <row r="5" spans="1:2" x14ac:dyDescent="0.35">
      <c r="A5" s="5" t="s">
        <v>495</v>
      </c>
      <c r="B5" s="6">
        <v>105</v>
      </c>
    </row>
    <row r="6" spans="1:2" x14ac:dyDescent="0.35">
      <c r="A6" s="5" t="s">
        <v>481</v>
      </c>
      <c r="B6" s="6">
        <v>175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6"/>
  <sheetViews>
    <sheetView workbookViewId="0">
      <selection activeCell="C3" sqref="C3"/>
    </sheetView>
  </sheetViews>
  <sheetFormatPr defaultRowHeight="14.5" x14ac:dyDescent="0.35"/>
  <cols>
    <col min="1" max="1" width="12.7265625" bestFit="1" customWidth="1"/>
    <col min="2" max="2" width="5.90625" bestFit="1" customWidth="1"/>
  </cols>
  <sheetData>
    <row r="3" spans="1:2" x14ac:dyDescent="0.35">
      <c r="A3" s="4" t="s">
        <v>493</v>
      </c>
      <c r="B3" t="s">
        <v>490</v>
      </c>
    </row>
    <row r="4" spans="1:2" x14ac:dyDescent="0.35">
      <c r="A4" s="5" t="s">
        <v>491</v>
      </c>
      <c r="B4" s="6">
        <v>45</v>
      </c>
    </row>
    <row r="5" spans="1:2" x14ac:dyDescent="0.35">
      <c r="A5" s="5" t="s">
        <v>492</v>
      </c>
      <c r="B5" s="6">
        <v>130</v>
      </c>
    </row>
    <row r="6" spans="1:2" hidden="1" x14ac:dyDescent="0.35">
      <c r="A6" s="5" t="s">
        <v>481</v>
      </c>
      <c r="B6" s="6">
        <v>175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13"/>
  <sheetViews>
    <sheetView topLeftCell="A8" workbookViewId="0">
      <selection activeCell="B31" sqref="B31"/>
    </sheetView>
  </sheetViews>
  <sheetFormatPr defaultRowHeight="14.5" x14ac:dyDescent="0.35"/>
  <cols>
    <col min="1" max="1" width="13.81640625" bestFit="1" customWidth="1"/>
    <col min="2" max="2" width="14.81640625" bestFit="1" customWidth="1"/>
  </cols>
  <sheetData>
    <row r="3" spans="1:2" x14ac:dyDescent="0.35">
      <c r="A3" s="4" t="s">
        <v>489</v>
      </c>
      <c r="B3" t="s">
        <v>488</v>
      </c>
    </row>
    <row r="4" spans="1:2" x14ac:dyDescent="0.35">
      <c r="A4" s="5" t="s">
        <v>401</v>
      </c>
      <c r="B4" s="7">
        <v>459515</v>
      </c>
    </row>
    <row r="5" spans="1:2" x14ac:dyDescent="0.35">
      <c r="A5" s="5" t="s">
        <v>149</v>
      </c>
      <c r="B5" s="7">
        <v>795697</v>
      </c>
    </row>
    <row r="6" spans="1:2" x14ac:dyDescent="0.35">
      <c r="A6" s="5" t="s">
        <v>14</v>
      </c>
      <c r="B6" s="7">
        <v>741042.04</v>
      </c>
    </row>
    <row r="7" spans="1:2" x14ac:dyDescent="0.35">
      <c r="A7" s="5" t="s">
        <v>20</v>
      </c>
      <c r="B7" s="7">
        <v>1102885.7857142857</v>
      </c>
    </row>
    <row r="8" spans="1:2" x14ac:dyDescent="0.35">
      <c r="A8" s="5" t="s">
        <v>105</v>
      </c>
      <c r="B8" s="7">
        <v>490396.70588235295</v>
      </c>
    </row>
    <row r="9" spans="1:2" x14ac:dyDescent="0.35">
      <c r="A9" s="5" t="s">
        <v>35</v>
      </c>
      <c r="B9" s="7">
        <v>859815.4615384615</v>
      </c>
    </row>
    <row r="10" spans="1:2" x14ac:dyDescent="0.35">
      <c r="A10" s="5" t="s">
        <v>170</v>
      </c>
      <c r="B10" s="7">
        <v>306792</v>
      </c>
    </row>
    <row r="11" spans="1:2" x14ac:dyDescent="0.35">
      <c r="A11" s="5" t="s">
        <v>31</v>
      </c>
      <c r="B11" s="7">
        <v>1020167.92</v>
      </c>
    </row>
    <row r="12" spans="1:2" x14ac:dyDescent="0.35">
      <c r="A12" s="5" t="s">
        <v>26</v>
      </c>
      <c r="B12" s="7">
        <v>1022957.7777777778</v>
      </c>
    </row>
    <row r="13" spans="1:2" hidden="1" x14ac:dyDescent="0.35">
      <c r="A13" s="5" t="s">
        <v>481</v>
      </c>
      <c r="B13" s="1">
        <v>872852.64</v>
      </c>
    </row>
  </sheetData>
  <pageMargins left="0.7" right="0.7" top="0.75" bottom="0.75" header="0.3" footer="0.3"/>
  <pageSetup orientation="portrait" r:id="rId2"/>
  <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10"/>
  <sheetViews>
    <sheetView workbookViewId="0">
      <selection activeCell="B16" sqref="B16"/>
    </sheetView>
  </sheetViews>
  <sheetFormatPr defaultRowHeight="14.5" x14ac:dyDescent="0.35"/>
  <cols>
    <col min="1" max="1" width="14" bestFit="1" customWidth="1"/>
    <col min="2" max="2" width="15.1796875" bestFit="1" customWidth="1"/>
  </cols>
  <sheetData>
    <row r="3" spans="1:2" x14ac:dyDescent="0.35">
      <c r="A3" s="4" t="s">
        <v>484</v>
      </c>
      <c r="B3" t="s">
        <v>482</v>
      </c>
    </row>
    <row r="4" spans="1:2" x14ac:dyDescent="0.35">
      <c r="A4" s="5" t="s">
        <v>22</v>
      </c>
      <c r="B4" s="1">
        <v>8.4549019607843121</v>
      </c>
    </row>
    <row r="5" spans="1:2" x14ac:dyDescent="0.35">
      <c r="A5" s="5" t="s">
        <v>16</v>
      </c>
      <c r="B5" s="1">
        <v>8.3675925925926027</v>
      </c>
    </row>
    <row r="6" spans="1:2" x14ac:dyDescent="0.35">
      <c r="A6" s="5" t="s">
        <v>41</v>
      </c>
      <c r="B6" s="1">
        <v>8.3812499999999996</v>
      </c>
    </row>
    <row r="7" spans="1:2" hidden="1" x14ac:dyDescent="0.35">
      <c r="A7" s="5" t="s">
        <v>480</v>
      </c>
      <c r="B7" s="1"/>
    </row>
    <row r="8" spans="1:2" x14ac:dyDescent="0.35">
      <c r="A8" s="5" t="s">
        <v>481</v>
      </c>
      <c r="B8" s="1">
        <v>8.3942857142857186</v>
      </c>
    </row>
    <row r="9" spans="1:2" x14ac:dyDescent="0.35">
      <c r="B9" s="1"/>
    </row>
    <row r="10" spans="1:2" x14ac:dyDescent="0.35">
      <c r="B10" s="1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13"/>
  <sheetViews>
    <sheetView topLeftCell="A9" workbookViewId="0">
      <selection activeCell="C31" sqref="C31"/>
    </sheetView>
  </sheetViews>
  <sheetFormatPr defaultRowHeight="14.5" x14ac:dyDescent="0.35"/>
  <cols>
    <col min="1" max="1" width="10.7265625" bestFit="1" customWidth="1"/>
    <col min="2" max="2" width="15.1796875" bestFit="1" customWidth="1"/>
  </cols>
  <sheetData>
    <row r="3" spans="1:2" x14ac:dyDescent="0.35">
      <c r="A3" s="4" t="s">
        <v>485</v>
      </c>
      <c r="B3" t="s">
        <v>482</v>
      </c>
    </row>
    <row r="4" spans="1:2" x14ac:dyDescent="0.35">
      <c r="A4" s="5" t="s">
        <v>26</v>
      </c>
      <c r="B4" s="1">
        <v>8.3833333333333329</v>
      </c>
    </row>
    <row r="5" spans="1:2" x14ac:dyDescent="0.35">
      <c r="A5" s="5" t="s">
        <v>31</v>
      </c>
      <c r="B5" s="1">
        <v>8.4239999999999995</v>
      </c>
    </row>
    <row r="6" spans="1:2" x14ac:dyDescent="0.35">
      <c r="A6" s="5" t="s">
        <v>170</v>
      </c>
      <c r="B6" s="1">
        <v>8.3666666666666654</v>
      </c>
    </row>
    <row r="7" spans="1:2" x14ac:dyDescent="0.35">
      <c r="A7" s="5" t="s">
        <v>35</v>
      </c>
      <c r="B7" s="1">
        <v>8.3923076923076927</v>
      </c>
    </row>
    <row r="8" spans="1:2" x14ac:dyDescent="0.35">
      <c r="A8" s="5" t="s">
        <v>105</v>
      </c>
      <c r="B8" s="1">
        <v>8.3294117647058812</v>
      </c>
    </row>
    <row r="9" spans="1:2" x14ac:dyDescent="0.35">
      <c r="A9" s="5" t="s">
        <v>20</v>
      </c>
      <c r="B9" s="1">
        <v>8.4678571428571416</v>
      </c>
    </row>
    <row r="10" spans="1:2" x14ac:dyDescent="0.35">
      <c r="A10" s="5" t="s">
        <v>14</v>
      </c>
      <c r="B10" s="1">
        <v>8.3759999999999994</v>
      </c>
    </row>
    <row r="11" spans="1:2" x14ac:dyDescent="0.35">
      <c r="A11" s="5" t="s">
        <v>149</v>
      </c>
      <c r="B11" s="1">
        <v>8.35</v>
      </c>
    </row>
    <row r="12" spans="1:2" x14ac:dyDescent="0.35">
      <c r="A12" s="5" t="s">
        <v>401</v>
      </c>
      <c r="B12" s="1">
        <v>8.1999999999999993</v>
      </c>
    </row>
    <row r="13" spans="1:2" x14ac:dyDescent="0.35">
      <c r="A13" s="5" t="s">
        <v>481</v>
      </c>
      <c r="B13" s="1">
        <v>8.3942857142857203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16"/>
  <sheetViews>
    <sheetView workbookViewId="0">
      <selection activeCell="B22" sqref="B22"/>
    </sheetView>
  </sheetViews>
  <sheetFormatPr defaultRowHeight="14.5" x14ac:dyDescent="0.35"/>
  <cols>
    <col min="1" max="1" width="10.7265625" bestFit="1" customWidth="1"/>
    <col min="2" max="2" width="16.26953125" bestFit="1" customWidth="1"/>
  </cols>
  <sheetData>
    <row r="3" spans="1:2" x14ac:dyDescent="0.35">
      <c r="A3" s="4" t="s">
        <v>486</v>
      </c>
      <c r="B3" t="s">
        <v>487</v>
      </c>
    </row>
    <row r="4" spans="1:2" x14ac:dyDescent="0.35">
      <c r="A4" s="5" t="s">
        <v>433</v>
      </c>
      <c r="B4" s="6">
        <v>2</v>
      </c>
    </row>
    <row r="5" spans="1:2" x14ac:dyDescent="0.35">
      <c r="A5" s="5" t="s">
        <v>177</v>
      </c>
      <c r="B5" s="6">
        <v>4</v>
      </c>
    </row>
    <row r="6" spans="1:2" x14ac:dyDescent="0.35">
      <c r="A6" s="5" t="s">
        <v>109</v>
      </c>
      <c r="B6" s="6">
        <v>7</v>
      </c>
    </row>
    <row r="7" spans="1:2" x14ac:dyDescent="0.35">
      <c r="A7" s="5" t="s">
        <v>40</v>
      </c>
      <c r="B7" s="6">
        <v>12</v>
      </c>
    </row>
    <row r="8" spans="1:2" x14ac:dyDescent="0.35">
      <c r="A8" s="5" t="s">
        <v>61</v>
      </c>
      <c r="B8" s="6">
        <v>11</v>
      </c>
    </row>
    <row r="9" spans="1:2" x14ac:dyDescent="0.35">
      <c r="A9" s="5" t="s">
        <v>21</v>
      </c>
      <c r="B9" s="6">
        <v>9</v>
      </c>
    </row>
    <row r="10" spans="1:2" x14ac:dyDescent="0.35">
      <c r="A10" s="5" t="s">
        <v>71</v>
      </c>
      <c r="B10" s="6">
        <v>19</v>
      </c>
    </row>
    <row r="11" spans="1:2" x14ac:dyDescent="0.35">
      <c r="A11" s="5" t="s">
        <v>15</v>
      </c>
      <c r="B11" s="6">
        <v>30</v>
      </c>
    </row>
    <row r="12" spans="1:2" x14ac:dyDescent="0.35">
      <c r="A12" s="5" t="s">
        <v>27</v>
      </c>
      <c r="B12" s="6">
        <v>34</v>
      </c>
    </row>
    <row r="13" spans="1:2" x14ac:dyDescent="0.35">
      <c r="A13" s="5" t="s">
        <v>47</v>
      </c>
      <c r="B13" s="6">
        <v>30</v>
      </c>
    </row>
    <row r="14" spans="1:2" x14ac:dyDescent="0.35">
      <c r="A14" s="5" t="s">
        <v>78</v>
      </c>
      <c r="B14" s="6">
        <v>17</v>
      </c>
    </row>
    <row r="15" spans="1:2" hidden="1" x14ac:dyDescent="0.35">
      <c r="A15" s="5" t="s">
        <v>480</v>
      </c>
      <c r="B15" s="6"/>
    </row>
    <row r="16" spans="1:2" x14ac:dyDescent="0.35">
      <c r="A16" s="5" t="s">
        <v>481</v>
      </c>
      <c r="B16" s="6">
        <v>175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dashboard</vt:lpstr>
      <vt:lpstr>imdb</vt:lpstr>
      <vt:lpstr>analysis</vt:lpstr>
      <vt:lpstr>pivot_blockbuster</vt:lpstr>
      <vt:lpstr>pivot_classic</vt:lpstr>
      <vt:lpstr>pivot_votes</vt:lpstr>
      <vt:lpstr>pivot_runtime</vt:lpstr>
      <vt:lpstr>pivot_genre</vt:lpstr>
      <vt:lpstr>pivot_decade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Naomi Sirya</dc:creator>
  <cp:lastModifiedBy>Naomi Sirya</cp:lastModifiedBy>
  <dcterms:created xsi:type="dcterms:W3CDTF">2026-05-20T17:42:18Z</dcterms:created>
  <dcterms:modified xsi:type="dcterms:W3CDTF">2026-05-20T17:59:33Z</dcterms:modified>
</cp:coreProperties>
</file>